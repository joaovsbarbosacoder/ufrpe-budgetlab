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table+xml" PartName="/xl/tables/table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Tabela dinâmica 3" sheetId="1" r:id="rId4"/>
    <sheet state="visible" name="Planilha atualizada" sheetId="2" r:id="rId5"/>
    <sheet state="visible" name="BASE_TG" sheetId="3" r:id="rId6"/>
    <sheet state="visible" name="INSTRUÇÕES" sheetId="4" r:id="rId7"/>
    <sheet state="visible" name="CONFERÊNCIA" sheetId="5" r:id="rId8"/>
  </sheets>
  <definedNames>
    <definedName hidden="1" localSheetId="1" name="_xlnm._FilterDatabase">'Planilha atualizada'!$A$1:$AL$61</definedName>
  </definedNames>
  <calcPr/>
  <pivotCaches>
    <pivotCache cacheId="0" r:id="rId9"/>
  </pivotCaches>
  <extLst>
    <ext uri="GoogleSheetsCustomDataVersion2">
      <go:sheetsCustomData xmlns:go="http://customooxmlschemas.google.com/" r:id="rId10" roundtripDataChecksum="7YBa982gkd0WNzL7h4KXCxvjL5GgpjySH0yxbS8c2U4="/>
    </ext>
  </extLst>
</workbook>
</file>

<file path=xl/sharedStrings.xml><?xml version="1.0" encoding="utf-8"?>
<sst xmlns="http://schemas.openxmlformats.org/spreadsheetml/2006/main" count="1876" uniqueCount="624">
  <si>
    <t>NE CCor - Favorecido</t>
  </si>
  <si>
    <t>ANO CONTRATO</t>
  </si>
  <si>
    <t>AUTOMAÇÃO DE SALDOS — SERVIÇOS CONTÍNUOS</t>
  </si>
  <si>
    <t>Nº CONTRATO</t>
  </si>
  <si>
    <t>NE CCor</t>
  </si>
  <si>
    <t>Nº PROCESSO CONTRATAÇÃO</t>
  </si>
  <si>
    <t>NE CCor - Descrição</t>
  </si>
  <si>
    <t>NE CCor - Núm. Processo</t>
  </si>
  <si>
    <t>PTRES</t>
  </si>
  <si>
    <t>Ação Governo</t>
  </si>
  <si>
    <t>Nº PROCESSO EMPENHO</t>
  </si>
  <si>
    <t>FORNECEDOR</t>
  </si>
  <si>
    <t>Natureza Despesa</t>
  </si>
  <si>
    <t>TIPO</t>
  </si>
  <si>
    <t>TIPO DE DESPESA</t>
  </si>
  <si>
    <t>Esta pasta de trabalho atualiza os saldos da aba “Planilha atualizada” a partir da aba BASE_TG.</t>
  </si>
  <si>
    <t>Fonte Recursos Detalhada</t>
  </si>
  <si>
    <t>CNPJ/CPF FORNEC</t>
  </si>
  <si>
    <t>DT VIGÊNCIA CONTRATO</t>
  </si>
  <si>
    <t>UG Responsável</t>
  </si>
  <si>
    <t>HOJE</t>
  </si>
  <si>
    <t>PI</t>
  </si>
  <si>
    <t>LIQ JAN</t>
  </si>
  <si>
    <t>STATUS</t>
  </si>
  <si>
    <t>LIQ FEV</t>
  </si>
  <si>
    <t>UNIDADE</t>
  </si>
  <si>
    <t>ETAPA</t>
  </si>
  <si>
    <t>LIQ MAR</t>
  </si>
  <si>
    <t>LIQ ABR</t>
  </si>
  <si>
    <t>LIQ MAI</t>
  </si>
  <si>
    <t>COMO USAR</t>
  </si>
  <si>
    <t>LIQ JUN</t>
  </si>
  <si>
    <t>AÇÃO</t>
  </si>
  <si>
    <t>LIQ JUL</t>
  </si>
  <si>
    <t>1</t>
  </si>
  <si>
    <t>LIQ AGO</t>
  </si>
  <si>
    <t>FONTE</t>
  </si>
  <si>
    <t>LIQ SET</t>
  </si>
  <si>
    <t>Exporte do Tesouro Gerencial o mesmo relatório, mantendo as colunas A:AB.</t>
  </si>
  <si>
    <t>LIQ OUT</t>
  </si>
  <si>
    <t>ND</t>
  </si>
  <si>
    <t>UGR</t>
  </si>
  <si>
    <t>LIQ NOV</t>
  </si>
  <si>
    <t>2</t>
  </si>
  <si>
    <t>LIQ DEZ</t>
  </si>
  <si>
    <t>VÁRIOS ITENS LIC.</t>
  </si>
  <si>
    <t>Na aba BASE_TG, apague somente os dados de A2:AB1000. Não apague a coluna AC.</t>
  </si>
  <si>
    <t>LIQ TOTAL</t>
  </si>
  <si>
    <t>OBSERVAÇÃO</t>
  </si>
  <si>
    <t>EMP TOTAL</t>
  </si>
  <si>
    <t>3</t>
  </si>
  <si>
    <t>EMPENHO</t>
  </si>
  <si>
    <t>EMP A LIQ ATUAL</t>
  </si>
  <si>
    <t>Cole a nova extração a partir de A2. A coluna EMPENHO (AC) será preenchida automaticamente.</t>
  </si>
  <si>
    <t>NECESSIDADE DE EMPENHO</t>
  </si>
  <si>
    <t>4</t>
  </si>
  <si>
    <t>MESES DE SALDO</t>
  </si>
  <si>
    <t>A aba Planilha atualizada recalculará o saldo e o rateio de cada item.</t>
  </si>
  <si>
    <t>MÊS ATUAL</t>
  </si>
  <si>
    <t>ASSOCIACAO PARANAENSE DE CULTURA - APC</t>
  </si>
  <si>
    <t>MESES EMPENHADOS</t>
  </si>
  <si>
    <t>MESES LIQUIDADOS</t>
  </si>
  <si>
    <t>5</t>
  </si>
  <si>
    <t>153165152392026NE000100</t>
  </si>
  <si>
    <t>ITEM LIC.</t>
  </si>
  <si>
    <t>Confira a aba CONFERÊNCIA e trate os casos NÃO LOCALIZADO ou DUPLICADO.</t>
  </si>
  <si>
    <t>SERVICOS DE TIC - PESSOA JURIDICA - OF. Nº 04/2026 PROPLAD (DOC. Nº 39/2026 SIPAC) CONTRATO Nº 23/2025</t>
  </si>
  <si>
    <t>23082.001370/2026-44</t>
  </si>
  <si>
    <t>%</t>
  </si>
  <si>
    <t>20RK</t>
  </si>
  <si>
    <t>FUNCIONAMENTO DE INSTITUICOES FEDERAIS DE ENSINO SUPERIOR</t>
  </si>
  <si>
    <t>INFORMAÇÃO</t>
  </si>
  <si>
    <t>DESPESA MENSAL</t>
  </si>
  <si>
    <t>SERVICOS DE TECNOLOGIA DA INFORMACAO E COMUNICACAO - PJ</t>
  </si>
  <si>
    <t>VALOR</t>
  </si>
  <si>
    <t>DESPESA ANUAL</t>
  </si>
  <si>
    <t>VALOR EMPENHADO</t>
  </si>
  <si>
    <t>SISTEMA INTEGRADO DE BIBLIOTECAS</t>
  </si>
  <si>
    <t>Arquivo-base recebido</t>
  </si>
  <si>
    <t>SALDO TG ATUALIZADO</t>
  </si>
  <si>
    <t>...</t>
  </si>
  <si>
    <t>ANULAR (R$)</t>
  </si>
  <si>
    <t>M20RKG35SCN</t>
  </si>
  <si>
    <t>MESES A EMPENHAR</t>
  </si>
  <si>
    <t>PROAD - Despesa de Custeio e Investimento - Contratos Contínuos (2).xlsx</t>
  </si>
  <si>
    <t>EMPENHAR (R$)</t>
  </si>
  <si>
    <t>Data desta configuração</t>
  </si>
  <si>
    <t>SALDO ANTERIOR</t>
  </si>
  <si>
    <t>SUM of EMPENHAR (R$)</t>
  </si>
  <si>
    <t>SALDO TOTAL TG</t>
  </si>
  <si>
    <t>002117/2026-16</t>
  </si>
  <si>
    <t>Campo de saldo utilizado</t>
  </si>
  <si>
    <t>STATUS ATUALIZAÇÃO</t>
  </si>
  <si>
    <t>CODAI</t>
  </si>
  <si>
    <t>20RL</t>
  </si>
  <si>
    <t>23/2025</t>
  </si>
  <si>
    <t>L20RLP01SCN</t>
  </si>
  <si>
    <t>013125/2022-56</t>
  </si>
  <si>
    <t>001370/2026-44</t>
  </si>
  <si>
    <t>SINFRA</t>
  </si>
  <si>
    <t>Associação Paranaense de Cultura - APC</t>
  </si>
  <si>
    <t>CONTÍNUO</t>
  </si>
  <si>
    <t>M20RKG01SCN</t>
  </si>
  <si>
    <t>SOLUÇÃO DE TIC</t>
  </si>
  <si>
    <t>76659820000151</t>
  </si>
  <si>
    <t>Total geral</t>
  </si>
  <si>
    <t>BRASCON GESTAO AMBIENTAL LTDA</t>
  </si>
  <si>
    <t>153165152392026NE000094</t>
  </si>
  <si>
    <t>SERVICOS DE TERCEIROS - PESSOA JURIDICA - OF. Nº 04/2026 PROPLAD (DOC. Nº 39/2026 SIPAC) CONTRATO Nº 29/2024</t>
  </si>
  <si>
    <t>SIB</t>
  </si>
  <si>
    <t>OUTROS SERVICOS DE TERCEIROS - PESSOA JURIDICA</t>
  </si>
  <si>
    <t>SIM</t>
  </si>
  <si>
    <t>SECRETARIA DE INFRAESTRUTURA E SERVICOS</t>
  </si>
  <si>
    <t>2026NE000100</t>
  </si>
  <si>
    <t>153165152392026NE000279</t>
  </si>
  <si>
    <t>DESPESAS DE EXERCICIOS ANTERIORES - OF. Nº 064/26 DCF - DESPACHO Nº 23527/2026 - PROPLAD</t>
  </si>
  <si>
    <t>23082.000665/2026-01</t>
  </si>
  <si>
    <t>DESPESAS DE EXERCICIOS ANTERIORES</t>
  </si>
  <si>
    <t>CARVALHO E SUASSUNA LTDA</t>
  </si>
  <si>
    <t>153165152392026NE000092</t>
  </si>
  <si>
    <t>SERVICOS DE TERCEIROS - PESSOA JURIDICA - OF. Nº 04/2026 PROPLAD (DOC. Nº 39/2026 SIPAC) CONTRATO Nº 22/2023</t>
  </si>
  <si>
    <t>PRO-REITORIA DE POS-GRADUACAO</t>
  </si>
  <si>
    <t>M20RKO94SCN</t>
  </si>
  <si>
    <t>153165152392026NE000149</t>
  </si>
  <si>
    <t>SERVICOS DE TERCEIROS - PESSOA JURIDICA - OFICIO: 07/2026 PROGESTI (DOC. Nº 582/2026 SIPAC) DESPACHO Nº 6380/2026 - PROPLAD - CONTRATO Nº 22/2023</t>
  </si>
  <si>
    <t>23082.002765/2026-64</t>
  </si>
  <si>
    <t>ASSISTENCIA AO ESTUDANTE DE ENSINO SUPERIOR</t>
  </si>
  <si>
    <t>PRO-REITORIA DE GESTAO ESTUDANTIL E INCLUSAO</t>
  </si>
  <si>
    <t>M4002G23SCN</t>
  </si>
  <si>
    <t>153165152392026NE000236</t>
  </si>
  <si>
    <t>DESPESAS DE EXERCICIOS ANTERIORES - OF. Nº 53/2026 DCF - DESPACHO Nº 17532/2026 - PROPLAD</t>
  </si>
  <si>
    <t>23082.036443/2025-38</t>
  </si>
  <si>
    <t>153165152392026NE000253</t>
  </si>
  <si>
    <t>INDENIZACOES - REFERENTE DESPESAS MENCIONADAS NO ITEM 1.1.1 DO 6º TERMO ADITIVO AO CONTRATO Nº 22/2023 - DESPACHO Nº 19670/2026 - PROPLAD</t>
  </si>
  <si>
    <t>23082.034470/2022-23</t>
  </si>
  <si>
    <t>INDENIZACOES E RESTITUICOES</t>
  </si>
  <si>
    <t>CLARO S.A.</t>
  </si>
  <si>
    <t>153165152392026NE000087</t>
  </si>
  <si>
    <t>SERVICOS DE TERCEIROS - PESSOA JURIDICA - OF. Nº 04/2026 PROPLAD (DOC. Nº 39/2026 SIPAC) CONTRATO Nº 10/2022</t>
  </si>
  <si>
    <t>29/2024</t>
  </si>
  <si>
    <t>012543/2024-98</t>
  </si>
  <si>
    <t>Brascon Gestão Ambiental Ltda</t>
  </si>
  <si>
    <t>COLETA DE RESÍDUO</t>
  </si>
  <si>
    <t>COMPANHIA ENERGETICA DE PERNAMBUCO</t>
  </si>
  <si>
    <t>153165152392026NE000074</t>
  </si>
  <si>
    <t>DESPESA DE EXERCICIO ANTERIOR - OF. Nº 05/2026 DCF - DESPACHO Nº 3878/2026 - PROPLAD</t>
  </si>
  <si>
    <t>23082.000246/2026-61</t>
  </si>
  <si>
    <t>DIRETORIA ADMINISTRATIVA DA UACSA</t>
  </si>
  <si>
    <t>2026NE000094</t>
  </si>
  <si>
    <t>153165152392026NE000075</t>
  </si>
  <si>
    <t>DESPESA DE EXERCICIO ANTERIOR - OF. Nº 04/2026 DCF - DESPACHO Nº 3874/2026 - PROPLAD</t>
  </si>
  <si>
    <t>23082.000281/2026-81</t>
  </si>
  <si>
    <t>PRO-REITORIA DE ADMINISTRACAO</t>
  </si>
  <si>
    <t>CONTRATO</t>
  </si>
  <si>
    <t>ITENS</t>
  </si>
  <si>
    <t>153165152392026NE000078</t>
  </si>
  <si>
    <t>SOMA %</t>
  </si>
  <si>
    <t>DESPESA DE EXERCIO ANTERIOR - OF. Nº 03/2026 DCF - DESPACHO Nº 3864/2026 - PROPLAD</t>
  </si>
  <si>
    <t>23082.000301/2026-13</t>
  </si>
  <si>
    <t>SALDO TG</t>
  </si>
  <si>
    <t>SALDO RATEADO</t>
  </si>
  <si>
    <t>DIFERENÇA</t>
  </si>
  <si>
    <t>153165152392026NE000079</t>
  </si>
  <si>
    <t>FUNCIONAMENTO DAS INSTITUICOES DA REDE FEDERAL DE EDUCACAO P</t>
  </si>
  <si>
    <t>COLEGIO AGRICOLA DOM AGOSTINHO IKAS - CODAI</t>
  </si>
  <si>
    <t>153165152392026NE000183</t>
  </si>
  <si>
    <t>SERVICOS DE TERCEIROS - PESSOA JURIDICA - OFICIO Nº 002/2026/SINFRA (DOC. Nº 4/2026 SIPAC) DESPACHO Nº 9002/2026 - PROPLAD</t>
  </si>
  <si>
    <t>23082.000214/2026-66</t>
  </si>
  <si>
    <t>153165152392026NE000184</t>
  </si>
  <si>
    <t>153165152392026NE000185</t>
  </si>
  <si>
    <t>OBRIGACOES TRIBUTARIAS E CONTRIBUTIVAS - OFICIO Nº 002/2026/SINFRA (DOC. Nº 4/2026 SIPAC) DESPACHO Nº 9002/2026 - PROPLAD</t>
  </si>
  <si>
    <t>OBRIGACOES TRIBUTARIAS E CONTRIBUTIVAS</t>
  </si>
  <si>
    <t>M20RKG01TXN</t>
  </si>
  <si>
    <t>153165152392026NE000186</t>
  </si>
  <si>
    <t>22/2023</t>
  </si>
  <si>
    <t>034470/2022-23</t>
  </si>
  <si>
    <t>Carvalho e Suassuna Ltda</t>
  </si>
  <si>
    <t>ALIMENTAÇÃO</t>
  </si>
  <si>
    <t>L20RLP01TXN</t>
  </si>
  <si>
    <t>12693919000197</t>
  </si>
  <si>
    <t>PRPG</t>
  </si>
  <si>
    <t>NÃO</t>
  </si>
  <si>
    <t>2026NE000092</t>
  </si>
  <si>
    <t>153165152392026NE000187</t>
  </si>
  <si>
    <t>DESPESAS DE EXERCICIOS ANTERIORES - OF. Nº 02/2026 GESTAO DE CONTRATOS-UACSA - OF. Nº 25/2026 DCF - DESPACHO Nº 9311/2026 - PROPLAD</t>
  </si>
  <si>
    <t>23082.002407/2026-51</t>
  </si>
  <si>
    <t>DIR GERAL E ACAD UNID ACAD CABO STO AGOST</t>
  </si>
  <si>
    <t>-</t>
  </si>
  <si>
    <t>COMPANHIA PERNAMBUCANA DE SANEAMENTO</t>
  </si>
  <si>
    <t>153165152392026NE000103</t>
  </si>
  <si>
    <t>DESPESA DE EXERCICIO ANTERIOR - OF. Nº 06/2026 DCF - DESPACHO Nº 4043/2026 - PROPLAD</t>
  </si>
  <si>
    <t>23082.036588/2025-39</t>
  </si>
  <si>
    <t>UNIDADE ACADEMICA DE SERRA TALHADA</t>
  </si>
  <si>
    <t>153165152392026NE000175</t>
  </si>
  <si>
    <t>SERVICOS DE TERCEIROS - PESSOA JURIDICA - OFICIO Nº 026/2026/SINFRA (DOC. Nº 426/2026 SIPAC)</t>
  </si>
  <si>
    <t>23082.002117/2026-16</t>
  </si>
  <si>
    <t>10/2022</t>
  </si>
  <si>
    <t>011359/2022-69</t>
  </si>
  <si>
    <t>Claro S/A</t>
  </si>
  <si>
    <t>TELEFONIA MÓVEL</t>
  </si>
  <si>
    <t>40432544000147</t>
  </si>
  <si>
    <t>153165152392026NE000176</t>
  </si>
  <si>
    <t>2026NE000087</t>
  </si>
  <si>
    <t>153165152392026NE000181</t>
  </si>
  <si>
    <t>DESPESA DE EXERCICIO ANTERIOR - OF. Nº 28/2026 DCF - DESPACHO Nº 9304/2026 - PROPLAD</t>
  </si>
  <si>
    <t>23082.001851/2026-50</t>
  </si>
  <si>
    <t>153165152392026NE000182</t>
  </si>
  <si>
    <t>DESPESA DE EXERCICIO ANTERIOR - OF. Nº 29/2026 DCF - DESPACHO Nº 9292/2026 - PROPLAD</t>
  </si>
  <si>
    <t>23082.001846/2026-47</t>
  </si>
  <si>
    <t>153165152392026NE000215</t>
  </si>
  <si>
    <t>DESPESA DE EXERCICIO ANTERIOR - OF. Nº 44/2026 DCF (DOC Nº 20/2026 SIPAC) DESPACHO Nº 15017/2026 - PROPLAD</t>
  </si>
  <si>
    <t>23082.001842/2026-69</t>
  </si>
  <si>
    <t>2026NE000183</t>
  </si>
  <si>
    <t>SN/2026</t>
  </si>
  <si>
    <t>ESTACAO DE AGRICULTURA IRRIGADA PARNAMIRIM</t>
  </si>
  <si>
    <t>Companhia Energética de Pernambuco</t>
  </si>
  <si>
    <t>153165152392026NE000249</t>
  </si>
  <si>
    <t>DESPESAS DE EXERCICIOS ANTERIORES - OF. Nº 56/2026 DCF (DOC. Nº 33/2026 SIPAC) DESPACHO Nº 19393/2026 - PROPLAD</t>
  </si>
  <si>
    <t>23082.001849/2026-81</t>
  </si>
  <si>
    <t>UNIDADE ACADEMICA DE BELO JARDIM</t>
  </si>
  <si>
    <t>000214/2026-66</t>
  </si>
  <si>
    <t>153165152392026NE000282</t>
  </si>
  <si>
    <t>DESPESAS DE EXERCICOS ANTERIORES - OF. Nº 57/2026 DCF (DOC. Nº 36/2026 SIPAC) DESPACHO Nº 18353/2026 - PROPLAD</t>
  </si>
  <si>
    <t>23082.006838/2026-97</t>
  </si>
  <si>
    <t>ENERGIA ELÉTRICA</t>
  </si>
  <si>
    <t>10835932000108</t>
  </si>
  <si>
    <t>CONSELHO DE ARQUITETURA E URBANISMO DE PERNAMBUCO - CAU</t>
  </si>
  <si>
    <t>153165152392026NE000127</t>
  </si>
  <si>
    <t>OBRIGACOES TRIBUTARIA E CONTRIBUTIVAS - OFICIO Nº 008/2026/SINFRA (DOC. Nº 87/2026 SIPAC)</t>
  </si>
  <si>
    <t>23082.000572/2026-79</t>
  </si>
  <si>
    <t>2026NE000184</t>
  </si>
  <si>
    <t>CONSELHO REGIONAL DE ENGENHARIA E AGRONOMIA</t>
  </si>
  <si>
    <t>153165152392026NE000128</t>
  </si>
  <si>
    <t>CONSELHO REGIONAL DOS TECNICOS INDUSTRIAIS DA 3 REGIAO</t>
  </si>
  <si>
    <t>153165152392026NE000129</t>
  </si>
  <si>
    <t>2026NE000185</t>
  </si>
  <si>
    <t>DEPARTAMENTO ESTADUAL DE TRANSITO DE PERNAMBUCO</t>
  </si>
  <si>
    <t>153165152392026NE000402</t>
  </si>
  <si>
    <t>OBRIGACOES TRIBUTARIAS E CONTRIBUTIVAS OFICIO Nº 020/2026 CTRAN (DOC. 2779/2026SIPAC) DESPACHO Nº 36211 / 2026 - PROPLAD</t>
  </si>
  <si>
    <t>23082.016344/2026-11</t>
  </si>
  <si>
    <t>153165152392026NE000403</t>
  </si>
  <si>
    <t>OBRIGACOES TRIBUTARIAS E CONTRIBUTIVAS -OFICIO Nº 020/2026 CTRAN (DOC. 2779/2026-SIPAC) DESPACHO Nº 36211 / 2026 - PROPLAD</t>
  </si>
  <si>
    <t>DIGITAL TECNOLOGIA &amp; TELECOMUNICACAO LTDA</t>
  </si>
  <si>
    <t>153165152392026NE000114</t>
  </si>
  <si>
    <t>SERVICOS DE TIC - PESSOA JURIDICA - OF. Nº 04/2026 - PROPLAD (DOC. Nº 39/2026 SIPAC) CONTRATO Nº 22/2021</t>
  </si>
  <si>
    <t>2026NE000186</t>
  </si>
  <si>
    <t>DSA - CONSULTORIA LTDA</t>
  </si>
  <si>
    <t>153165152392026NE000131</t>
  </si>
  <si>
    <t>SERVICOS DE TERCEIROS - PESSOA JURIDICA - OF. Nº 04/2026 PROPLAD (DOC. Nº 39/2026 SIPAC) CONTRATO Nº 25/2025</t>
  </si>
  <si>
    <t>PRO-REITORIA DE PLANEJAMENTO E ADMINISTRACAO</t>
  </si>
  <si>
    <t>ECOS TURISMO LTDA</t>
  </si>
  <si>
    <t>153165152392026NE000007</t>
  </si>
  <si>
    <t>PASSAGENS E DESPESAS COM LOCOMOCAO - OFICIO Nº 001/2026/CDP/DAC/PROPLAD/UFRPE (OFICIO Nº 31/2026 - SIPAC) - CONTRATO Nº 05/2025</t>
  </si>
  <si>
    <t>23082.000220/2026-13</t>
  </si>
  <si>
    <t>PASSAGENS E DESPESAS COM LOCOMOCAO</t>
  </si>
  <si>
    <t>2026NE000175</t>
  </si>
  <si>
    <t>153165152392026NE000101</t>
  </si>
  <si>
    <t>PASSAGENS E DESPESAS COM LOCOMOCAO - OFICIO Nº 6/2026 - CCCL-CODAI (DOC. Nº 4/2026 SIAPC) DESPACHO Nº 4070/2026 - PROPLAD - CONTRATO Nº 5/2025</t>
  </si>
  <si>
    <t>23082.001633/2026-15</t>
  </si>
  <si>
    <t>Companhia Pernambucana de Saneamento</t>
  </si>
  <si>
    <t>153165152392026NE000105</t>
  </si>
  <si>
    <t>PASSAGENS E DESPESAS COM LOCOMOCAO - OFICIO Nº 06/2026 PROGESTI (DOC Nº 303/2026 - SIPAC) CTO Nº 05/2025</t>
  </si>
  <si>
    <t>23082.001670/2026-23</t>
  </si>
  <si>
    <t>M4002G01SCN</t>
  </si>
  <si>
    <t>2026NE000176</t>
  </si>
  <si>
    <t>153165152392026NE000137</t>
  </si>
  <si>
    <t>PASSAGENS E DESPESAS COM LOCOMOCAO - OFICIO Nº 06/2026 PROGESTI (DOC Nº 303/2026 - SIPAC) DESPACHO Nº 4993/2026 - PROPLAD - CTO Nº 05/2025</t>
  </si>
  <si>
    <t>153165152392026NE000152</t>
  </si>
  <si>
    <t>PASSAGENS E DESPESAS COM LOCOMOCAO - OFICIO Nº 008/2026/DG/UAEADTEC (DOC. Nº 2/2026 SIPAC) DESPACHO Nº 6848/2026 - PROPLAD - CONTRATO Nº 05/2025</t>
  </si>
  <si>
    <t>23082.001084/2026-89</t>
  </si>
  <si>
    <t>21D7</t>
  </si>
  <si>
    <t>APOIO A EDUCACAO A DISTANCIA</t>
  </si>
  <si>
    <t>UNIDADE ACADEMICA DE EDUCACAO A DISTANCIA E T</t>
  </si>
  <si>
    <t>M21D7G01SCN</t>
  </si>
  <si>
    <t>2026NE000114</t>
  </si>
  <si>
    <t>22/2021</t>
  </si>
  <si>
    <t>Digital Tecnologia &amp; Telecomunicação Ltda</t>
  </si>
  <si>
    <t>153165152392026NE000319</t>
  </si>
  <si>
    <t>PASSAGENS E DESPESAS COM LOCOMOCAO - OFICIO Nº 13/2026 - NACES (DOC. Nº 2229/2026 - SIPAC) - CONTRATO Nº 05/2025</t>
  </si>
  <si>
    <t>23082.013407/2026-87</t>
  </si>
  <si>
    <t>NUCLEO ACESSIBILIDADE</t>
  </si>
  <si>
    <t>ELETRICA MONTAGENS &amp; MANUTENCAO LTDA</t>
  </si>
  <si>
    <t>153165152392026NE000089</t>
  </si>
  <si>
    <t>LOCACAO DE MAO-DE-OBRA - OF. Nº 04/2026 PROPLAD (DOC. Nº 39/2026 SIPAC) CONTRATO Nº 03/2023</t>
  </si>
  <si>
    <t>LOCACAO DE MAO-DE-OBRA</t>
  </si>
  <si>
    <t>2026NE000131</t>
  </si>
  <si>
    <t>25/2025</t>
  </si>
  <si>
    <t>DSA - Consultoria Ltda</t>
  </si>
  <si>
    <t>153165152392026NE000090</t>
  </si>
  <si>
    <t>SERVICOS DE TERCEIROS - PESSOA JURIDICA - OF. Nº 04/2026 PROPLAD (DOC. Nº 39/2026 SIPAC) CONTRATO Nº 03/2023</t>
  </si>
  <si>
    <t>ÁGUA E ESGOTO</t>
  </si>
  <si>
    <t>EMPRESA BRASILEIRA DE CORREIOS E TELEGRAFOS</t>
  </si>
  <si>
    <t>153165152392026NE000091</t>
  </si>
  <si>
    <t>09769035000164</t>
  </si>
  <si>
    <t>SERVICOS DE TERCEIROS - PESSOA JURIDICA - OF. Nº 04/2026 PROPLAD (DOC. Nº 39/2026 SIPAC) CONTRATO Nº 08/2023</t>
  </si>
  <si>
    <t>2026NE000007</t>
  </si>
  <si>
    <t>05/2025</t>
  </si>
  <si>
    <t>Ecos Turismo Ltda</t>
  </si>
  <si>
    <t>INSTITUTO NACIONAL DA PROPRIEDADE INDUSTRIAL</t>
  </si>
  <si>
    <t>153165152392026NE000138</t>
  </si>
  <si>
    <t>OBRIGACOES TRIBUTARIAS E CONTRIBUTIVAS - OF. S/Nº NEI / INSTITUTO IPE (DOC. Nº 54/2026 SIPAC)</t>
  </si>
  <si>
    <t>23082.000351/2026-09</t>
  </si>
  <si>
    <t>OBRIG.TRIBUT.E CONTRIB-OP.INTRA-ORCAMENTARIAS</t>
  </si>
  <si>
    <t>NUCLEO DE EMPREENDEDORISMO E INOVACAO</t>
  </si>
  <si>
    <t>INTELIGENCIA SEGURANCA PRIVADA LTDA</t>
  </si>
  <si>
    <t>153165152392026NE000088</t>
  </si>
  <si>
    <t>LOCACAO DE MAO-DE-OBRA - OF. Nº 04/2026 PROPLAD (DOC. Nº 39/2026 SIPAC) CONTRATO Nº 14/2022</t>
  </si>
  <si>
    <t>2026NE000089</t>
  </si>
  <si>
    <t>03/2023</t>
  </si>
  <si>
    <t>153165152392026NE000111</t>
  </si>
  <si>
    <t>LOCACAO DE MAO-DE-OBRA - OF. Nº 5/2026 - CCCL-CODAI (DOC. Nº 3/2026 SIPAC) CONTRATO Nº 14/2022</t>
  </si>
  <si>
    <t>23082.001631/2026-26</t>
  </si>
  <si>
    <t>Elétrica Montagens &amp; Manutenção Ltda</t>
  </si>
  <si>
    <t>LAVEBRAS GESTAO DE TEXTEIS S.A.</t>
  </si>
  <si>
    <t>153165152392026NE000115</t>
  </si>
  <si>
    <t>SERVICOS DE TERCEIROS - PESSOA JURIDICA - OF. Nº 04/2026 - PROPLAD (DOC. Nº 39/2026 SIPAC) CONTRATO Nº 23/2024</t>
  </si>
  <si>
    <t>HOSPITAL VETERINARIO UNIVERSITARIO</t>
  </si>
  <si>
    <t>M20RKG71SCN</t>
  </si>
  <si>
    <t>153165152392026NE000418</t>
  </si>
  <si>
    <t>DESPESAS DE EXERCICIOS ANTERIORES - OF. Nº 77/2026 DCF - DESPACHO Nº 36691/2026 - PROPLAD</t>
  </si>
  <si>
    <t>23082.035069/2025-53</t>
  </si>
  <si>
    <t>2026NE000090</t>
  </si>
  <si>
    <t>DEPARTAMENTO DE MEDICINA VETERINARIA</t>
  </si>
  <si>
    <t>MAXIFROTA SERVICOS DE MANUTENCAO DE FROTA LTDA</t>
  </si>
  <si>
    <t>153165152392026NE000093</t>
  </si>
  <si>
    <t>MATERIAL DE CONSUMO - OF. Nº 04/2026 PROPLAD (DOC. Nº 39/2026 SIPAC) CONTRATO Nº</t>
  </si>
  <si>
    <t>MATERIAL DE CONSUMO</t>
  </si>
  <si>
    <t>2026NE000091</t>
  </si>
  <si>
    <t>153165152392026NE000113</t>
  </si>
  <si>
    <t>08/2023</t>
  </si>
  <si>
    <t>MATERIAL DE CONSUMO - OF. Nº 5/2026 - CCCL-CODAI (DOC. Nº 3/2026 SIPAC) CONTRATO Nº 23/2023</t>
  </si>
  <si>
    <t>Empresa Brasileira de Correios e Telégrafos</t>
  </si>
  <si>
    <t>004447/2021-23</t>
  </si>
  <si>
    <t>UABJ</t>
  </si>
  <si>
    <t>153165152392026NE000116</t>
  </si>
  <si>
    <t>MATERIAL DE CONSUMO - OF. Nº 04/2026 PROPLAD (DOC. Nº 39/2026 SIPAC) CONTRATO Nº 23/2023</t>
  </si>
  <si>
    <t>MBM SEGURADORA SA</t>
  </si>
  <si>
    <t>153165152392026NE000085</t>
  </si>
  <si>
    <t>SERVICOS DE TERCEIROS - PESSOA JURIDICA - OF. Nº 04/2026 PROPLAD (DOC. Nº 39/2026 SIPAC) CONTRATO Nº 34/2021</t>
  </si>
  <si>
    <t>REITORIA DE ENSINO E GRADUACAO</t>
  </si>
  <si>
    <t>M20RKG19SCN</t>
  </si>
  <si>
    <t>2026NE000088</t>
  </si>
  <si>
    <t>14/2022</t>
  </si>
  <si>
    <t>Inteligência Segurança Privada Ltda</t>
  </si>
  <si>
    <t>MUNICIPIO DO RECIFE</t>
  </si>
  <si>
    <t>153165152392026NE000126</t>
  </si>
  <si>
    <t>OBRIGACOES TRIBUTARIA E CONTRIBUTIVAS - OFICIO Nº 009/2026/SINFRA (DOC. Nº 85/2026 SIPAC)</t>
  </si>
  <si>
    <t>23082.000567/2026-66</t>
  </si>
  <si>
    <t>030835/2025-93</t>
  </si>
  <si>
    <t>153165152392026NE000159</t>
  </si>
  <si>
    <t>OBRIGACOES TRIBUTARIAS E CONTRIBUTIVAS - OFICIO Nº 24/2026 DCF (DOC. Nº 626/2026 SIPAC)</t>
  </si>
  <si>
    <t>23082.002961/2026-39</t>
  </si>
  <si>
    <t>PUBLICIDADE LEGAL</t>
  </si>
  <si>
    <t>2026NE000115</t>
  </si>
  <si>
    <t>23/2024</t>
  </si>
  <si>
    <t>PROPLAD</t>
  </si>
  <si>
    <t>Lavebrás Gestão de Texteis S/A</t>
  </si>
  <si>
    <t>153165152392026NE000301</t>
  </si>
  <si>
    <t>OBRIGACOES TRIBUTARIA E CONTRIBUTIVAS - OFICIO Nº 07/2026 UFRPE (DOC. Nº 2152/2026 SIPAC)</t>
  </si>
  <si>
    <t>23082.013000/2026-50</t>
  </si>
  <si>
    <t>NOBRE SABOR REFEICOES LTDA</t>
  </si>
  <si>
    <t>153165152392026NE000098</t>
  </si>
  <si>
    <t>SERVICOS DE TERCEIROS - PESSOA JURIDICA - OF. Nº 04/2026 PROPLAD (DOC. Nº 39/2026 SIPAC) CONTRATO Nº 12/2025</t>
  </si>
  <si>
    <t>2026NE000116</t>
  </si>
  <si>
    <t>23/2023</t>
  </si>
  <si>
    <t>Maxifrota Serviços de Manutenção de Frota Ltda</t>
  </si>
  <si>
    <t>153165152392026NE000107</t>
  </si>
  <si>
    <t>SERVICOS DE TERCEIROS - PESSOA JURIDICA - OF. Nº 5/2026 - CCCL-CODAI (DOC. Nº 3/2026 SIPAC) CONTRATO Nº 12/2025</t>
  </si>
  <si>
    <t>ASSISTENCIA AOS ESTUDANTES DA REDE FEDERAL DE EDUCACAO PROFI</t>
  </si>
  <si>
    <t>L2994P01SCN</t>
  </si>
  <si>
    <t>153165152392026NE000150</t>
  </si>
  <si>
    <t>037427/2023-09</t>
  </si>
  <si>
    <t>SERVICOS DE TERCEIROS - PESSOA JURIDICA - OFICIO: 07/2026 PROGESTI (DOC. Nº 582/2026 SIPAC) DESPACHO Nº 6380/2026 - PROPLAD - CONTRATO Nº 12/2025</t>
  </si>
  <si>
    <t>000220/2026-13</t>
  </si>
  <si>
    <t>PASSAGEM AÉREA</t>
  </si>
  <si>
    <t>153165152392026NE000234</t>
  </si>
  <si>
    <t>SERVICOS DE TERCEIROS - PESSOA JURIDICA - OFICIO Nº 019/2026/DG/UAEADTEC (DOC. Nº 270/2026 SIPAC) DESPACHO Nº 16377/2026 - PROPLAD - CONTRATO Nº 12/2025</t>
  </si>
  <si>
    <t>23082.008133/2026-12</t>
  </si>
  <si>
    <t>2026NE000085</t>
  </si>
  <si>
    <t>34/2021</t>
  </si>
  <si>
    <t>MBM Seguradora SA</t>
  </si>
  <si>
    <t>OI S.A. - EM RECUPERACAO JUDICIAL</t>
  </si>
  <si>
    <t>153165152392026NE000086</t>
  </si>
  <si>
    <t>SERVICOS DE TERCEIROS - PESSOA JURIDICA - OF. Nº 04/2026 PROPLAD (DOC. Nº 39/2026 SIPAC) CONTRATO Nº 07/2022</t>
  </si>
  <si>
    <t>153165152392026NE000148</t>
  </si>
  <si>
    <t>SERVICOS DE TERCEIROS - PESSOA JURIDICA - OFICIO Nº 390/2023/PROAD/DELOGS (DOC Nº 7415/2023 SIPAC) DESPACHO Nº 5452/2026 - PROPLAD</t>
  </si>
  <si>
    <t>23082.034544/2023-11</t>
  </si>
  <si>
    <t>2026NE000098</t>
  </si>
  <si>
    <t>12/2025</t>
  </si>
  <si>
    <t>Nobre Sabor Refeições Ltda</t>
  </si>
  <si>
    <t>SUSPENSO</t>
  </si>
  <si>
    <t>PRIME CONSULTORIA E ASSESSORIA EMPRESARIAL LTDA</t>
  </si>
  <si>
    <t>153165152392026NE000082</t>
  </si>
  <si>
    <t>SERVICOS DE TERCEIROS - PESSOA JURIDICA - OF. Nº 04/2026 PROPLAD (DOC. Nº 39/2026 SIPAC) CONTRATO Nº 14/2020</t>
  </si>
  <si>
    <t>153165152392026NE000112</t>
  </si>
  <si>
    <t>SERVICOS DE TERCEIROS - PESSOA JURIDICA - OF. Nº 5/2026 - CCCL-CODAI (DOC. Nº 3/2026 SIPAC) CONTRATO Nº 14/2020</t>
  </si>
  <si>
    <t>2026NE000148</t>
  </si>
  <si>
    <t>05/2026</t>
  </si>
  <si>
    <t>Oi S/A - Em Recuperação Judicial</t>
  </si>
  <si>
    <t>153165152392026NE000320</t>
  </si>
  <si>
    <t>DESPESAS DE EXERCICIOS ANTERIORES - OF. Nº 66/2026 DCF (DOC. Nº 40/2026 SIPAC) DESPACHO Nº 28369/2026 - PROPLAD</t>
  </si>
  <si>
    <t>23082.008964/2026-86</t>
  </si>
  <si>
    <t>REDE NACIONAL DE ENSINO E PESQUISA - RNP</t>
  </si>
  <si>
    <t>153165152392026NE000167</t>
  </si>
  <si>
    <t>SERVICO DE TIC - PESSOA JURIDICA - DESPACHO Nº 8118/2026 - PROPLAD - TERMO DE APOSTILAMENTO Nº 01/2026 AO CONTRATO Nº 42/2024</t>
  </si>
  <si>
    <t>23082.030584/2024-66</t>
  </si>
  <si>
    <t>RIO AVE IMOVEIS LTDA</t>
  </si>
  <si>
    <t>153165152392026NE000081</t>
  </si>
  <si>
    <t>SERVICOS DE TERCEIROS - PESSOA JURIDICA - OF. Nº 04/2026 - PROPLAD (DOC. Nº 39/2026 SIPAC) CONTRATO Nº 21/2017</t>
  </si>
  <si>
    <t>2026NE000082</t>
  </si>
  <si>
    <t>14/2020</t>
  </si>
  <si>
    <t>Prime Consultoria e Assessoria Empresarial Ltda</t>
  </si>
  <si>
    <t>153165152392026NE000203</t>
  </si>
  <si>
    <t>DESPESAS DE EXERCICOS ANTERIORES - OF. Nº 40/2026 DCF (DOC. Nº 17/2026 SIPAC) DESPACHO Nº 12832/2026 - PROPLAD - TERMO DE APOSTILAMENTO Nº 04/2026 AO CONTRATO Nº 21/2017</t>
  </si>
  <si>
    <t>23082.002406/2026-15</t>
  </si>
  <si>
    <t>RSAT SEGURANCA ELETRONICA LTDA</t>
  </si>
  <si>
    <t>153165152392026NE000154</t>
  </si>
  <si>
    <t>SERVICOS DE TERCEIROS - PESSOA JURIDICA - OFICIO: 07/2026 PROGESTI (DOC. Nº 582/2026 SIPAC) DESPACHO Nº 6380/2026 - PROPLAD - CONTRATO Nº 06/2025</t>
  </si>
  <si>
    <t>000273/2022-19</t>
  </si>
  <si>
    <t>MANUTENÇÃO AR-CONDICIONADO</t>
  </si>
  <si>
    <t>2026NE000167</t>
  </si>
  <si>
    <t>42/2024</t>
  </si>
  <si>
    <t>SERCOSERV SERVICOS TERCEIRIZADOS LTDA</t>
  </si>
  <si>
    <t>153165152392026NE000423</t>
  </si>
  <si>
    <t>Rede Nacional de Ensino e Pesquisa - RNP</t>
  </si>
  <si>
    <t>LOCACAO DE MAO-DE-OBRA - OFICIO Nº 132/2025/SINFRA (DOC. Nº 804/2025 SIPAC) DESPACHO Nº 38041 / 2026 - PROPLAD - PARECER Nº 01195/2026/NLC/ELIC/PGF/AGU - PE 90003/2026</t>
  </si>
  <si>
    <t>23082.030744/2025-58</t>
  </si>
  <si>
    <t>153165152392026NE000424</t>
  </si>
  <si>
    <t>153165152392026NE000425</t>
  </si>
  <si>
    <t>2026NE000081</t>
  </si>
  <si>
    <t>21/2017</t>
  </si>
  <si>
    <t>Rio Ave Imóveis Ltda</t>
  </si>
  <si>
    <t>153165152392026NE000426</t>
  </si>
  <si>
    <t>SERVAL SERVICOS E LIMPEZA LTDA.</t>
  </si>
  <si>
    <t>153165152392026NE000095</t>
  </si>
  <si>
    <t>LOCACAO DE MAO-DE-OBRA - OF. Nº 04/2026 PROPLAD (DOC. Nº 39/2026 SIPAC) CONTRATO Nº 35/2024</t>
  </si>
  <si>
    <t>2026NE000097</t>
  </si>
  <si>
    <t>153165152392026NE000097</t>
  </si>
  <si>
    <t>10/2025</t>
  </si>
  <si>
    <t>LOCACAO DE MAO DE OBRA - OF. Nº 04/2026 PROPLAD (DOC. Nº 39/2026 SIPAC) CONTRATO Nº 10/2025</t>
  </si>
  <si>
    <t>Serval Serviços e Limpeza Ltda (agrárias)</t>
  </si>
  <si>
    <t>153165152392026NE000099</t>
  </si>
  <si>
    <t>LOCACAO DE MAO-DE-OBRA - OF. Nº 04/2026 PROPLAD (DOC. Nº 39/2026 SIPAC) CONTRATO Nº 14/2025</t>
  </si>
  <si>
    <t>018309/2023-93</t>
  </si>
  <si>
    <t>2026NE000095</t>
  </si>
  <si>
    <t>35/2024</t>
  </si>
  <si>
    <t>SERVIÇOS POSTAIS</t>
  </si>
  <si>
    <t>34028316002157</t>
  </si>
  <si>
    <t>Serval Serviços e Limpeza Ltda (apoio adm.)</t>
  </si>
  <si>
    <t>153165152392026NE000108</t>
  </si>
  <si>
    <t>LOCACAO DE MAO-DE-OBRA - OF. Nº 5/2026 - CCCL-CODAI (DOC. Nº 3/2026 SIPAC) CONTRATO Nº 14/2025</t>
  </si>
  <si>
    <t>153165152392026NE000109</t>
  </si>
  <si>
    <t>LOCACAO DE MAO-DE-OBRA - OF. Nº 5/2026 - CCCL-CODAI (DOC. Nº 3/2026 SIPAC) CONTRATO Nº 35/2024</t>
  </si>
  <si>
    <t>2026NE000350</t>
  </si>
  <si>
    <t>10/2026</t>
  </si>
  <si>
    <t>Serval Serviços e Limpeza Ltda (apoio adm.) - Emergencial</t>
  </si>
  <si>
    <t>153165152392026NE000110</t>
  </si>
  <si>
    <t>LOCACAO DE MAO-DE-OBRA - OF. Nº 5/2026 - CCCL-CODAI (DOC. Nº 3/2026 SIPAC) CONTRATO Nº 10/2025</t>
  </si>
  <si>
    <t>002291/2021-46</t>
  </si>
  <si>
    <t>SERVIÇO DE VIGILÂNCIA</t>
  </si>
  <si>
    <t>11808559000169</t>
  </si>
  <si>
    <t>2026NE000099</t>
  </si>
  <si>
    <t>153165152392026NE000146</t>
  </si>
  <si>
    <t>14/2025</t>
  </si>
  <si>
    <t>DESPESA DE EXERCICIO ANTERIOR - OF. Nº 009 DCF (DOC. Nº 5/2026 SIPAC) - DESPACHO Nº 5223 / 2026 - PROPLAD</t>
  </si>
  <si>
    <t>Serval Serviços e Limpeza Ltda (limpeza)</t>
  </si>
  <si>
    <t>23082.000819/2026-57</t>
  </si>
  <si>
    <t>153165152392026NE000196</t>
  </si>
  <si>
    <t>DESPESAS DE EXERCICIOS ANTERIORES - OF. Nº 22/2026 DCF (DOC. Nº 6/2026 SIPAC) DESPACHO Nº 11171/2026 - PROPLAD</t>
  </si>
  <si>
    <t>23082.002093/2026-97</t>
  </si>
  <si>
    <t>2026NE000096</t>
  </si>
  <si>
    <t>033084/2023-03</t>
  </si>
  <si>
    <t>36/2024</t>
  </si>
  <si>
    <t>Serviço Federal de Processamento de Dados</t>
  </si>
  <si>
    <t>HIGIENE HOSPITALAR</t>
  </si>
  <si>
    <t>06272575004803</t>
  </si>
  <si>
    <t>HVU</t>
  </si>
  <si>
    <t>153165152392026NE000197</t>
  </si>
  <si>
    <t>153165152392026NE000335</t>
  </si>
  <si>
    <t>DESPESAS DE EXERCICIOS ANTERIORES - OF. Nº 61/2026 DCF(DOC. Nº 39/2026 SIPAC) DESPACHO Nº 30007/2026 - PROPLAD</t>
  </si>
  <si>
    <t>23082.006669/2026-95</t>
  </si>
  <si>
    <t>2026NE000083</t>
  </si>
  <si>
    <t>28/2021</t>
  </si>
  <si>
    <t>Sim Gestão Ambiental Serviços Ltda</t>
  </si>
  <si>
    <t>153165152392026NE000336</t>
  </si>
  <si>
    <t>20/2019</t>
  </si>
  <si>
    <t>009124/2020-90</t>
  </si>
  <si>
    <t>Luiz Barbosa Maciel (aguardando invenariante)</t>
  </si>
  <si>
    <t>153165152392026NE000347</t>
  </si>
  <si>
    <t>ALUGUEL DE IMÓVEL</t>
  </si>
  <si>
    <t>DESPESAS DE EXERCICIOS ANTERIORES - OF. Nº 74/2026 DCF (DOC. Nº 44/2026 SIPAC) DESPACHO Nº 31191/2026 - PROPLAD - REPACTUACAO DOS VALORES DE JANEIRO A MAIO DE 2025 (CT 20/2024)</t>
  </si>
  <si>
    <t>23082.012160/2026-81</t>
  </si>
  <si>
    <t>2026NE000003</t>
  </si>
  <si>
    <t>02/2026</t>
  </si>
  <si>
    <t>SOLL - Serviços, Obras e Locações Ltda</t>
  </si>
  <si>
    <t>153165152392026NE000348</t>
  </si>
  <si>
    <t>153165152392026NE000349</t>
  </si>
  <si>
    <t>LOCACAO DE MAO-DE-OBRA - OFICIO Nº 139/2026/SINFRA (DOC. Nº 2279/2026 SIPAC) DESPACHO Nº 32518/2026 - PROPLAD</t>
  </si>
  <si>
    <t>23082.013683/2026-45</t>
  </si>
  <si>
    <t>2026NE000178</t>
  </si>
  <si>
    <t>08/2026</t>
  </si>
  <si>
    <t>SOLUCOES  SERVICOS DE LOCACAO DE MAQUINAS E EQUIPAMENTO</t>
  </si>
  <si>
    <t>153165152392026NE000350</t>
  </si>
  <si>
    <t>SERVICO FEDERAL DE PROCESSAMENTO DE DADOS (SERPRO)</t>
  </si>
  <si>
    <t>2026NE000130</t>
  </si>
  <si>
    <t>153165152392026NE000096</t>
  </si>
  <si>
    <t>SERVICOS DE TIC - PESSOA JURIDICA - OF. Nº 04/2026 PROPLAD (DOC. Nº 39/2026 SIPAC) CONTRATO Nº 36/2024</t>
  </si>
  <si>
    <t>07/2026</t>
  </si>
  <si>
    <t>TARGET ENGENHARIA E CONSULTORIA LTDA</t>
  </si>
  <si>
    <t>000844/2023-98</t>
  </si>
  <si>
    <t>SIM GESTAO AMBIENTAL SERVICOS LTDA</t>
  </si>
  <si>
    <t>153165152392026NE000083</t>
  </si>
  <si>
    <t>SERVICOS DE TERCEIROS - PESSOA JURIDICA - OF. Nº 04/2026 PROPLAD (DOC. Nº 39/2026 SIPAC) CONTRATO Nº 28/2021</t>
  </si>
  <si>
    <t>COMBUSTÍVEL</t>
  </si>
  <si>
    <t>153165152392026NE000195</t>
  </si>
  <si>
    <t>DESPESAS DE EXERCICIOS ANTERIORES - OF. Nº 37/2026 DCF - DESPACHO Nº 11110/2026 - PROPLAD</t>
  </si>
  <si>
    <t>23082.004326/2026-96</t>
  </si>
  <si>
    <t>2026NE000084</t>
  </si>
  <si>
    <t>29/2021</t>
  </si>
  <si>
    <t>Tekis Tecnologias Avançadas Ltda</t>
  </si>
  <si>
    <t>SOLIVETTI COMERCIO E SERVICOS LTDA</t>
  </si>
  <si>
    <t>153165152392026NE000218</t>
  </si>
  <si>
    <t>SERVICO DE TIC - PJ - OFICIO Nº 038/2026/SINFRA - OFICIO Nº 36/2026 DCF - DESPACHO Nº 15006/2026 PROPLAD</t>
  </si>
  <si>
    <t>23082.004276/2026-47</t>
  </si>
  <si>
    <t>153165152392026NE000219</t>
  </si>
  <si>
    <t>SERVICO DE TIC - PJ - OFICIO Nº 058/2026/SINFRA - OFICIO Nº 39/2026 DCF - DESPACHO Nº 15009/2026 PROPLAD</t>
  </si>
  <si>
    <t>23082.006215/2026-14</t>
  </si>
  <si>
    <t>153165152392026NE000220</t>
  </si>
  <si>
    <t>DESPESAS DE EXERCICIOA ANTERIORES - OFICIO Nº 175/2025/SINFRA - OF. Nº 47/2026 DCF - DESPACHO Nº 15433/2026 - PROPLAD</t>
  </si>
  <si>
    <t>23082.035911/2025-57</t>
  </si>
  <si>
    <t>153165152392026NE000221</t>
  </si>
  <si>
    <t>DESPESAS DE EXERCICIOS ANTERIORES - OFICIO Nº 174/2025/SINFRA - OF. Nº 48/2026 DCF - DESPACHO Nº 15430/2026 - PROPLAD</t>
  </si>
  <si>
    <t>23082.035912/2025-00</t>
  </si>
  <si>
    <t>153165152392026NE000222</t>
  </si>
  <si>
    <t>DESPESAS DE EXERCICIOS ANTERIORES - OFICIO Nº 179/2025/SINFRA - OF. Nº 49/2026 DCF - DESPACHO Nº 15426/2026 - PROPLAD</t>
  </si>
  <si>
    <t>23082.035916/2025-80</t>
  </si>
  <si>
    <t>153165152392026NE000223</t>
  </si>
  <si>
    <t>DESPESAS DE EXERCICIOS ANTERIORES - OFICIO Nº 178/2025/SINFRA - OF. Nº 51/2026 DCF - DESPACHO Nº 15422/2026 - PROPLAD</t>
  </si>
  <si>
    <t>23082.035926/2025-15</t>
  </si>
  <si>
    <t>153165152392026NE000224</t>
  </si>
  <si>
    <t>DESPESAS DE EXERCICIOS ANTERIORES - OFICIO Nº 176/2025/SINFRA - OF. Nº 52/2026 DCF - DESPACHO Nº 15419/2026 - PROPLAD</t>
  </si>
  <si>
    <t>23082.035932/2025-72</t>
  </si>
  <si>
    <t>153165152392026NE000225</t>
  </si>
  <si>
    <t>DESPESAS DE EXERCICIOS ANTERIORES - OFICIO Nº 177/2025/SINFRA - OF. Nº 50/2026 DCF - DESPACHO Nº 15417/2026 - PROPLAD</t>
  </si>
  <si>
    <t>23082.035933/2025-17</t>
  </si>
  <si>
    <t>153165152392026NE000226</t>
  </si>
  <si>
    <t>DESPESAS DE EXERCICIOS ANTERIORES - OFICIO Nº 189/2025/SINFRA - OF. Nº 46/2026 DCF - DESPACHO Nº 15406/2026 - PROPLAD</t>
  </si>
  <si>
    <t>23082.036140/2025-15</t>
  </si>
  <si>
    <t>153165152392026NE000227</t>
  </si>
  <si>
    <t>DESPESAS DE EXERCICIOS ANTERIORES - OFICIO Nº 13/2026/SINFRA - OF. Nº 45/2026 DCF - DESPACHO Nº 15403/2026 - PROPLAD</t>
  </si>
  <si>
    <t>23082.000808/2026-77</t>
  </si>
  <si>
    <t>153165152392026NE000331</t>
  </si>
  <si>
    <t>SERVICO DE TIC - PJ - OFICIO Nº 131/2026/SINFRA - OFICIO Nº 67/2026 DCF - DESPACHO Nº 29455/2026 PROPLAD</t>
  </si>
  <si>
    <t>23082.012942/2026-11</t>
  </si>
  <si>
    <t>153165152392026NE000332</t>
  </si>
  <si>
    <t>SERVICO DE TIC - PJ - OFICIO Nº 132/2026/SINFRA - OFICIO Nº 68/2026 DCF - DESPACHO Nº 29457/2026 PROPLAD</t>
  </si>
  <si>
    <t>23082.012944/2026-18</t>
  </si>
  <si>
    <t>153165152392026NE000358</t>
  </si>
  <si>
    <t>SERVICO DE TIC - PJ - OFICIO Nº 159/2026/SINFRA - OFICIO Nº 77/2026 DCF - DESPACHO Nº 33248/2026 PROPLAD</t>
  </si>
  <si>
    <t>23082.015554/2026-91</t>
  </si>
  <si>
    <t>SOLL -SERVICOS OBRAS E LOCACOES LTDA</t>
  </si>
  <si>
    <t>153165152392026NE000002</t>
  </si>
  <si>
    <t>LOCACAO DE MAO-DE-OBRA - OFICIO N.º 15/2025 - DIMAN (DOC.5153/2025-SIPAC)</t>
  </si>
  <si>
    <t>23082.025699/2025-10</t>
  </si>
  <si>
    <t>153165152392026NE000003</t>
  </si>
  <si>
    <t>LOCACAO DE MAO-DE-OBRA - OFICIO N.º 15/2025 - DIMAN (OFICIO Nº 5153/2025-SIPAC) - PARECER Nº 00420/2025/DICON/PFUFRPE/PGF/AGU</t>
  </si>
  <si>
    <t>SOLUCOES SERVICOS DE LOCACAO DE MAQUINAS E EQUIPAMENTO</t>
  </si>
  <si>
    <t>153165152392026NE000178</t>
  </si>
  <si>
    <t>SERVICOS DE TIC - PESSOA JURIDICA - OFICIO Nº 28/2024 EDUFRPE (DOC Nº 4723/2024 SIPAC)</t>
  </si>
  <si>
    <t>23082.019387/2024-96</t>
  </si>
  <si>
    <t>EDITORA UNIVERSITARIA</t>
  </si>
  <si>
    <t>153165152392026NE000179</t>
  </si>
  <si>
    <t>M21D7G35SCN</t>
  </si>
  <si>
    <t>153165152392026NE000420</t>
  </si>
  <si>
    <t>SERVICOS DE TIC - PESSOA JURIDICA - OFICIO Nº 391/2023/PROAD/DELOGS (DOC. Nº 7417/2023 SIPAC) DESPACHO Nº 39248/2026 - PROPLAD - PARECER Nº 00312/2026/DICON/PFUFRPE/PGF/AGU</t>
  </si>
  <si>
    <t>23082.034549/2023-35</t>
  </si>
  <si>
    <t>TARGET ENGENHARIA E CONSULTORIA LTDA.</t>
  </si>
  <si>
    <t>153165152392026NE000130</t>
  </si>
  <si>
    <t>SERVICOS DE TIC - PESSOA JURIDICA - OFICIO Nº 27/2025 BIBLIOTECA CENTRAL (DOC. Nº 181/2025 SIPAC)</t>
  </si>
  <si>
    <t>23082.027455/2025-71</t>
  </si>
  <si>
    <t>026373/2021-86</t>
  </si>
  <si>
    <t>SEGURO ESTAGIÁRIOS</t>
  </si>
  <si>
    <t>PREG</t>
  </si>
  <si>
    <t>TEKIS TECNOLOGIAS AVANCADAS LTDA</t>
  </si>
  <si>
    <t>153165152392026NE000084</t>
  </si>
  <si>
    <t>SERVICOS DE TIC - PESSOA JURIDICA - OF. Nº 04/2026 PROPLAD (DOC. Nº 39/2026 SIPAC) CONTRATO Nº 29/2021</t>
  </si>
  <si>
    <t>M20RKO35SCN</t>
  </si>
  <si>
    <t>19/2025</t>
  </si>
  <si>
    <t>003653/2025-40</t>
  </si>
  <si>
    <t>Minha Biblioteca Ltda</t>
  </si>
  <si>
    <t>023363/2023-51</t>
  </si>
  <si>
    <t>RU PÓS-GRADUAÇÃO</t>
  </si>
  <si>
    <t>034544/2023-11</t>
  </si>
  <si>
    <t>TELEFONIA FIXA</t>
  </si>
  <si>
    <t>07/2022</t>
  </si>
  <si>
    <t>000744/2022-81</t>
  </si>
  <si>
    <t>008841/2020-68</t>
  </si>
  <si>
    <t>MANUTENÇÃO DE VEÍCULO</t>
  </si>
  <si>
    <t>05340639000130</t>
  </si>
  <si>
    <t>030584/2024-66</t>
  </si>
  <si>
    <t>REAJUSTE</t>
  </si>
  <si>
    <t>STD</t>
  </si>
  <si>
    <t>016402/2021-00</t>
  </si>
  <si>
    <t>10729661000106</t>
  </si>
  <si>
    <t>UACSA</t>
  </si>
  <si>
    <t>019964/2023-69</t>
  </si>
  <si>
    <t>APOIO ADMINISTRATIVO</t>
  </si>
  <si>
    <t>07360290000123</t>
  </si>
  <si>
    <t>013415/2021-19</t>
  </si>
  <si>
    <t>013683/2026-45</t>
  </si>
  <si>
    <t>016559/2025-51</t>
  </si>
  <si>
    <t>SERVIÇO DE LIMPEZA</t>
  </si>
  <si>
    <t>016763/2024-91</t>
  </si>
  <si>
    <t>003636/2021-89</t>
  </si>
  <si>
    <t>025699/2025-10</t>
  </si>
  <si>
    <t>MANUTENÇÃO PREDIAL</t>
  </si>
  <si>
    <t>19387/2024-96</t>
  </si>
  <si>
    <t>EDITORA</t>
  </si>
  <si>
    <t>027455/2025-71</t>
  </si>
  <si>
    <t xml:space="preserve">DESPESA ANUAL </t>
  </si>
  <si>
    <t>006789/2021-88</t>
  </si>
  <si>
    <t>030744/2025-58</t>
  </si>
  <si>
    <t>SERCOSERV SERVICOS TERCEIRIZADOS LTDA.</t>
  </si>
  <si>
    <t>2026NE000425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</si>
</sst>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7">
    <numFmt numFmtId="164" formatCode="00000000000000"/>
    <numFmt numFmtId="165" formatCode="0000"/>
    <numFmt numFmtId="166" formatCode="0.0"/>
    <numFmt numFmtId="167" formatCode="dd/MM/yyyy"/>
    <numFmt numFmtId="168" formatCode="0000000000"/>
    <numFmt numFmtId="169" formatCode="00000000000"/>
    <numFmt numFmtId="170" formatCode="[$R$ -416]#,##0.00"/>
  </numFmts>
  <fonts count="21">
    <font>
      <sz val="11.0"/>
      <color rgb="FF000000"/>
      <name val="Calibri"/>
      <scheme val="minor"/>
    </font>
    <font>
      <b/>
      <sz val="10.0"/>
      <color rgb="FF000000"/>
      <name val="Calibri"/>
    </font>
    <font>
      <b/>
      <sz val="11.0"/>
      <color rgb="FFFFFFFF"/>
      <name val="Calibri"/>
    </font>
    <font>
      <b/>
      <sz val="16.0"/>
      <color rgb="FFFFFFFF"/>
      <name val="Calibri"/>
    </font>
    <font/>
    <font>
      <b/>
      <sz val="10.0"/>
      <color theme="1"/>
      <name val="Calibri"/>
    </font>
    <font>
      <b/>
      <sz val="11.0"/>
      <color rgb="FF17365D"/>
      <name val="Calibri"/>
    </font>
    <font>
      <sz val="11.0"/>
      <color rgb="FF000000"/>
      <name val="Calibri"/>
    </font>
    <font>
      <sz val="8.0"/>
      <color rgb="FF25396E"/>
      <name val="Arial"/>
    </font>
    <font>
      <color theme="1"/>
      <name val="Calibri"/>
      <scheme val="minor"/>
    </font>
    <font>
      <sz val="8.0"/>
      <color rgb="FF000000"/>
      <name val="Arial"/>
    </font>
    <font>
      <b/>
      <sz val="11.0"/>
      <color rgb="FF000000"/>
      <name val="Calibri"/>
    </font>
    <font>
      <sz val="10.0"/>
      <color rgb="FF000000"/>
      <name val="Calibri"/>
    </font>
    <font>
      <sz val="10.0"/>
      <color theme="1"/>
      <name val="Calibri"/>
    </font>
    <font>
      <sz val="11.0"/>
      <color theme="1"/>
      <name val="Calibri"/>
    </font>
    <font>
      <sz val="10.0"/>
      <color rgb="FFFF0000"/>
      <name val="Calibri"/>
    </font>
    <font>
      <sz val="10.0"/>
      <color rgb="FFFF0000"/>
      <name val="Arial"/>
    </font>
    <font>
      <sz val="10.0"/>
      <color theme="1"/>
      <name val="Arial"/>
    </font>
    <font>
      <sz val="10.0"/>
      <color rgb="FF000000"/>
      <name val="Arial"/>
    </font>
    <font>
      <color theme="1"/>
      <name val="Calibri"/>
    </font>
    <font>
      <sz val="11.0"/>
      <color rgb="FF000000"/>
      <name val="Arial"/>
    </font>
  </fonts>
  <fills count="7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4472C4"/>
        <bgColor rgb="FF4472C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</fills>
  <borders count="16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left/>
      <right/>
      <top/>
      <bottom style="thin">
        <color rgb="FFD9E2F3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top/>
      <bottom/>
    </border>
    <border>
      <top/>
      <bottom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</border>
    <border>
      <left style="thin">
        <color rgb="FFC0C0C0"/>
      </left>
      <bottom style="thin">
        <color rgb="FFC0C0C0"/>
      </bottom>
    </border>
    <border>
      <left style="thin">
        <color rgb="FF000000"/>
      </left>
      <bottom style="thin">
        <color rgb="FF000000"/>
      </bottom>
    </border>
    <border>
      <left style="thin">
        <color rgb="FFC0C0C0"/>
      </left>
      <right style="thin">
        <color rgb="FFC0C0C0"/>
      </right>
      <bottom style="thin">
        <color rgb="FFC0C0C0"/>
      </bottom>
    </border>
    <border>
      <top style="thin">
        <color rgb="FFD9E2F3"/>
      </top>
      <bottom style="thin">
        <color rgb="FFD9E2F3"/>
      </bottom>
    </border>
    <border>
      <top style="thin">
        <color rgb="FFD9E2F3"/>
      </top>
      <bottom style="thin">
        <color rgb="FFA6A6A6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157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shrinkToFit="0" vertical="center" wrapText="1"/>
    </xf>
    <xf borderId="2" fillId="2" fontId="2" numFmtId="0" xfId="0" applyAlignment="1" applyBorder="1" applyFill="1" applyFont="1">
      <alignment horizontal="center" shrinkToFit="0" vertical="center" wrapText="1"/>
    </xf>
    <xf borderId="3" fillId="0" fontId="1" numFmtId="49" xfId="0" applyAlignment="1" applyBorder="1" applyFont="1" applyNumberFormat="1">
      <alignment horizontal="center" shrinkToFit="0" vertical="center" wrapText="1"/>
    </xf>
    <xf borderId="4" fillId="2" fontId="3" numFmtId="0" xfId="0" applyAlignment="1" applyBorder="1" applyFont="1">
      <alignment horizontal="center" vertical="center"/>
    </xf>
    <xf borderId="3" fillId="0" fontId="1" numFmtId="0" xfId="0" applyAlignment="1" applyBorder="1" applyFont="1">
      <alignment horizontal="center" shrinkToFit="0" vertical="center" wrapText="1"/>
    </xf>
    <xf borderId="5" fillId="0" fontId="4" numFmtId="0" xfId="0" applyBorder="1" applyFont="1"/>
    <xf borderId="3" fillId="0" fontId="5" numFmtId="0" xfId="0" applyAlignment="1" applyBorder="1" applyFont="1">
      <alignment horizontal="center" shrinkToFit="0" vertical="center" wrapText="1"/>
    </xf>
    <xf borderId="3" fillId="0" fontId="1" numFmtId="167" xfId="0" applyAlignment="1" applyBorder="1" applyFont="1" applyNumberFormat="1">
      <alignment horizontal="center" shrinkToFit="0" vertical="center" wrapText="1"/>
    </xf>
    <xf borderId="4" fillId="3" fontId="6" numFmtId="0" xfId="0" applyAlignment="1" applyBorder="1" applyFill="1" applyFont="1">
      <alignment shrinkToFit="0" wrapText="1"/>
    </xf>
    <xf borderId="3" fillId="0" fontId="5" numFmtId="167" xfId="0" applyAlignment="1" applyBorder="1" applyFont="1" applyNumberFormat="1">
      <alignment horizontal="center" shrinkToFit="0" vertical="center" wrapText="1"/>
    </xf>
    <xf borderId="3" fillId="0" fontId="1" numFmtId="14" xfId="0" applyAlignment="1" applyBorder="1" applyFont="1" applyNumberFormat="1">
      <alignment horizontal="center" shrinkToFit="0" vertical="center" wrapText="1"/>
    </xf>
    <xf borderId="6" fillId="4" fontId="2" numFmtId="0" xfId="0" applyAlignment="1" applyBorder="1" applyFill="1" applyFont="1">
      <alignment horizontal="center"/>
    </xf>
    <xf borderId="6" fillId="4" fontId="2" numFmtId="0" xfId="0" applyAlignment="1" applyBorder="1" applyFont="1">
      <alignment horizontal="center" shrinkToFit="0" wrapText="1"/>
    </xf>
    <xf borderId="6" fillId="3" fontId="6" numFmtId="0" xfId="0" applyAlignment="1" applyBorder="1" applyFont="1">
      <alignment horizontal="center"/>
    </xf>
    <xf borderId="3" fillId="0" fontId="5" numFmtId="168" xfId="0" applyAlignment="1" applyBorder="1" applyFont="1" applyNumberFormat="1">
      <alignment horizontal="center" shrinkToFit="0" vertical="center" wrapText="1"/>
    </xf>
    <xf borderId="6" fillId="0" fontId="7" numFmtId="0" xfId="0" applyAlignment="1" applyBorder="1" applyFont="1">
      <alignment shrinkToFit="0" wrapText="1"/>
    </xf>
    <xf borderId="7" fillId="5" fontId="8" numFmtId="0" xfId="0" applyAlignment="1" applyBorder="1" applyFill="1" applyFont="1">
      <alignment horizontal="left" readingOrder="0"/>
    </xf>
    <xf borderId="3" fillId="0" fontId="5" numFmtId="4" xfId="0" applyAlignment="1" applyBorder="1" applyFont="1" applyNumberFormat="1">
      <alignment horizontal="center" shrinkToFit="0" vertical="center" wrapText="1"/>
    </xf>
    <xf borderId="0" fillId="0" fontId="7" numFmtId="0" xfId="0" applyAlignment="1" applyFont="1">
      <alignment shrinkToFit="0" wrapText="1"/>
    </xf>
    <xf borderId="3" fillId="0" fontId="1" numFmtId="2" xfId="0" applyAlignment="1" applyBorder="1" applyFont="1" applyNumberFormat="1">
      <alignment horizontal="center" shrinkToFit="0" vertical="center" wrapText="1"/>
    </xf>
    <xf borderId="6" fillId="4" fontId="2" numFmtId="0" xfId="0" applyBorder="1" applyFont="1"/>
    <xf borderId="3" fillId="0" fontId="1" numFmtId="4" xfId="0" applyAlignment="1" applyBorder="1" applyFont="1" applyNumberFormat="1">
      <alignment horizontal="center" shrinkToFit="0" vertical="center" wrapText="1"/>
    </xf>
    <xf borderId="6" fillId="4" fontId="2" numFmtId="0" xfId="0" applyAlignment="1" applyBorder="1" applyFont="1">
      <alignment shrinkToFit="0" wrapText="1"/>
    </xf>
    <xf borderId="0" fillId="0" fontId="9" numFmtId="0" xfId="0" applyFont="1"/>
    <xf borderId="6" fillId="0" fontId="7" numFmtId="0" xfId="0" applyBorder="1" applyFont="1"/>
    <xf borderId="7" fillId="5" fontId="10" numFmtId="4" xfId="0" applyAlignment="1" applyBorder="1" applyFont="1" applyNumberFormat="1">
      <alignment horizontal="right" shrinkToFit="0" wrapText="0"/>
    </xf>
    <xf borderId="0" fillId="0" fontId="9" numFmtId="168" xfId="0" applyFont="1" applyNumberFormat="1"/>
    <xf borderId="7" fillId="5" fontId="10" numFmtId="4" xfId="0" applyAlignment="1" applyBorder="1" applyFont="1" applyNumberFormat="1">
      <alignment horizontal="right" readingOrder="0" shrinkToFit="0" wrapText="0"/>
    </xf>
    <xf borderId="3" fillId="0" fontId="11" numFmtId="0" xfId="0" applyAlignment="1" applyBorder="1" applyFont="1">
      <alignment horizontal="center" shrinkToFit="0" vertical="center" wrapText="1"/>
    </xf>
    <xf borderId="6" fillId="0" fontId="7" numFmtId="14" xfId="0" applyAlignment="1" applyBorder="1" applyFont="1" applyNumberFormat="1">
      <alignment shrinkToFit="0" wrapText="1"/>
    </xf>
    <xf borderId="0" fillId="0" fontId="9" numFmtId="49" xfId="0" applyFont="1" applyNumberFormat="1"/>
    <xf borderId="8" fillId="0" fontId="12" numFmtId="0" xfId="0" applyAlignment="1" applyBorder="1" applyFont="1">
      <alignment horizontal="center" vertical="center"/>
    </xf>
    <xf borderId="0" fillId="0" fontId="9" numFmtId="165" xfId="0" applyFont="1" applyNumberFormat="1"/>
    <xf borderId="3" fillId="0" fontId="12" numFmtId="49" xfId="0" applyAlignment="1" applyBorder="1" applyFont="1" applyNumberFormat="1">
      <alignment horizontal="center" vertical="center"/>
    </xf>
    <xf borderId="3" fillId="0" fontId="12" numFmtId="0" xfId="0" applyAlignment="1" applyBorder="1" applyFont="1">
      <alignment horizontal="center" vertical="center"/>
    </xf>
    <xf borderId="0" fillId="0" fontId="9" numFmtId="3" xfId="0" applyFont="1" applyNumberFormat="1"/>
    <xf borderId="3" fillId="0" fontId="13" numFmtId="0" xfId="0" applyAlignment="1" applyBorder="1" applyFont="1">
      <alignment horizontal="center" vertical="center"/>
    </xf>
    <xf borderId="3" fillId="0" fontId="13" numFmtId="49" xfId="0" applyAlignment="1" applyBorder="1" applyFont="1" applyNumberFormat="1">
      <alignment vertical="center"/>
    </xf>
    <xf borderId="9" fillId="5" fontId="10" numFmtId="4" xfId="0" applyAlignment="1" applyBorder="1" applyFont="1" applyNumberFormat="1">
      <alignment horizontal="right" readingOrder="0" shrinkToFit="0" wrapText="0"/>
    </xf>
    <xf borderId="3" fillId="0" fontId="13" numFmtId="0" xfId="0" applyAlignment="1" applyBorder="1" applyFont="1">
      <alignment horizontal="center" shrinkToFit="0" vertical="center" wrapText="1"/>
    </xf>
    <xf borderId="3" fillId="0" fontId="13" numFmtId="49" xfId="0" applyAlignment="1" applyBorder="1" applyFont="1" applyNumberFormat="1">
      <alignment horizontal="center" shrinkToFit="0" vertical="center" wrapText="1"/>
    </xf>
    <xf borderId="0" fillId="0" fontId="9" numFmtId="4" xfId="0" applyFont="1" applyNumberFormat="1"/>
    <xf borderId="3" fillId="0" fontId="12" numFmtId="164" xfId="0" applyAlignment="1" applyBorder="1" applyFont="1" applyNumberFormat="1">
      <alignment horizontal="center" vertical="center"/>
    </xf>
    <xf borderId="3" fillId="0" fontId="13" numFmtId="14" xfId="0" applyAlignment="1" applyBorder="1" applyFont="1" applyNumberFormat="1">
      <alignment horizontal="center" vertical="center"/>
    </xf>
    <xf borderId="10" fillId="0" fontId="7" numFmtId="0" xfId="0" applyBorder="1" applyFont="1"/>
    <xf borderId="3" fillId="0" fontId="13" numFmtId="49" xfId="0" applyAlignment="1" applyBorder="1" applyFont="1" applyNumberFormat="1">
      <alignment horizontal="center" vertical="center"/>
    </xf>
    <xf borderId="3" fillId="0" fontId="13" numFmtId="165" xfId="0" applyAlignment="1" applyBorder="1" applyFont="1" applyNumberFormat="1">
      <alignment horizontal="center" vertical="center"/>
    </xf>
    <xf borderId="3" fillId="0" fontId="13" numFmtId="166" xfId="0" applyAlignment="1" applyBorder="1" applyFont="1" applyNumberFormat="1">
      <alignment horizontal="center" shrinkToFit="0" vertical="center" wrapText="1"/>
    </xf>
    <xf borderId="3" fillId="0" fontId="12" numFmtId="10" xfId="0" applyAlignment="1" applyBorder="1" applyFont="1" applyNumberFormat="1">
      <alignment horizontal="center" shrinkToFit="0" vertical="center" wrapText="1"/>
    </xf>
    <xf borderId="3" fillId="0" fontId="12" numFmtId="4" xfId="0" applyAlignment="1" applyBorder="1" applyFont="1" applyNumberFormat="1">
      <alignment horizontal="center" vertical="center"/>
    </xf>
    <xf borderId="3" fillId="0" fontId="13" numFmtId="4" xfId="0" applyAlignment="1" applyBorder="1" applyFont="1" applyNumberFormat="1">
      <alignment horizontal="center" vertical="center"/>
    </xf>
    <xf borderId="3" fillId="0" fontId="13" numFmtId="4" xfId="0" applyAlignment="1" applyBorder="1" applyFont="1" applyNumberFormat="1">
      <alignment vertical="center"/>
    </xf>
    <xf borderId="3" fillId="0" fontId="13" numFmtId="3" xfId="0" applyAlignment="1" applyBorder="1" applyFont="1" applyNumberFormat="1">
      <alignment horizontal="center" vertical="center"/>
    </xf>
    <xf borderId="3" fillId="0" fontId="7" numFmtId="4" xfId="0" applyAlignment="1" applyBorder="1" applyFont="1" applyNumberFormat="1">
      <alignment horizontal="center"/>
    </xf>
    <xf borderId="3" fillId="0" fontId="7" numFmtId="0" xfId="0" applyAlignment="1" applyBorder="1" applyFont="1">
      <alignment horizontal="center"/>
    </xf>
    <xf borderId="1" fillId="0" fontId="12" numFmtId="0" xfId="0" applyAlignment="1" applyBorder="1" applyFont="1">
      <alignment horizontal="center" vertical="center"/>
    </xf>
    <xf borderId="2" fillId="2" fontId="2" numFmtId="0" xfId="0" applyAlignment="1" applyBorder="1" applyFont="1">
      <alignment horizontal="center" readingOrder="0" shrinkToFit="0" vertical="center" wrapText="1"/>
    </xf>
    <xf borderId="3" fillId="0" fontId="14" numFmtId="0" xfId="0" applyBorder="1" applyFont="1"/>
    <xf borderId="10" fillId="0" fontId="7" numFmtId="0" xfId="0" applyAlignment="1" applyBorder="1" applyFont="1">
      <alignment shrinkToFit="0" vertical="center" wrapText="0"/>
    </xf>
    <xf borderId="10" fillId="0" fontId="7" numFmtId="10" xfId="0" applyAlignment="1" applyBorder="1" applyFont="1" applyNumberFormat="1">
      <alignment shrinkToFit="0" vertical="center" wrapText="0"/>
    </xf>
    <xf borderId="10" fillId="0" fontId="7" numFmtId="4" xfId="0" applyAlignment="1" applyBorder="1" applyFont="1" applyNumberFormat="1">
      <alignment shrinkToFit="0" vertical="center" wrapText="0"/>
    </xf>
    <xf borderId="3" fillId="0" fontId="12" numFmtId="0" xfId="0" applyAlignment="1" applyBorder="1" applyFont="1">
      <alignment vertical="center"/>
    </xf>
    <xf borderId="3" fillId="0" fontId="12" numFmtId="0" xfId="0" applyAlignment="1" applyBorder="1" applyFont="1">
      <alignment horizontal="center" shrinkToFit="0" vertical="center" wrapText="1"/>
    </xf>
    <xf borderId="3" fillId="5" fontId="12" numFmtId="2" xfId="0" applyAlignment="1" applyBorder="1" applyFont="1" applyNumberFormat="1">
      <alignment horizontal="center" vertical="center"/>
    </xf>
    <xf borderId="3" fillId="5" fontId="12" numFmtId="4" xfId="0" applyAlignment="1" applyBorder="1" applyFont="1" applyNumberFormat="1">
      <alignment horizontal="center" vertical="center"/>
    </xf>
    <xf borderId="9" fillId="0" fontId="13" numFmtId="4" xfId="0" applyAlignment="1" applyBorder="1" applyFont="1" applyNumberFormat="1">
      <alignment horizontal="center" vertical="center"/>
    </xf>
    <xf borderId="3" fillId="0" fontId="13" numFmtId="167" xfId="0" applyAlignment="1" applyBorder="1" applyFont="1" applyNumberFormat="1">
      <alignment horizontal="center" vertical="center"/>
    </xf>
    <xf borderId="3" fillId="0" fontId="12" numFmtId="2" xfId="0" applyAlignment="1" applyBorder="1" applyFont="1" applyNumberFormat="1">
      <alignment horizontal="center" vertical="center"/>
    </xf>
    <xf borderId="3" fillId="0" fontId="12" numFmtId="49" xfId="0" applyAlignment="1" applyBorder="1" applyFont="1" applyNumberFormat="1">
      <alignment horizontal="left" vertical="center"/>
    </xf>
    <xf borderId="3" fillId="0" fontId="13" numFmtId="2" xfId="0" applyAlignment="1" applyBorder="1" applyFont="1" applyNumberFormat="1">
      <alignment horizontal="center" vertical="center"/>
    </xf>
    <xf borderId="3" fillId="0" fontId="12" numFmtId="49" xfId="0" applyAlignment="1" applyBorder="1" applyFont="1" applyNumberFormat="1">
      <alignment horizontal="left" shrinkToFit="0" vertical="center" wrapText="1"/>
    </xf>
    <xf borderId="3" fillId="0" fontId="14" numFmtId="0" xfId="0" applyAlignment="1" applyBorder="1" applyFont="1">
      <alignment horizontal="center" vertical="center"/>
    </xf>
    <xf borderId="3" fillId="0" fontId="13" numFmtId="0" xfId="0" applyAlignment="1" applyBorder="1" applyFont="1">
      <alignment vertical="center"/>
    </xf>
    <xf borderId="3" fillId="6" fontId="13" numFmtId="14" xfId="0" applyAlignment="1" applyBorder="1" applyFill="1" applyFont="1" applyNumberFormat="1">
      <alignment horizontal="center" vertical="center"/>
    </xf>
    <xf borderId="3" fillId="0" fontId="12" numFmtId="4" xfId="0" applyAlignment="1" applyBorder="1" applyFont="1" applyNumberFormat="1">
      <alignment horizontal="center" shrinkToFit="0" vertical="center" wrapText="1"/>
    </xf>
    <xf borderId="3" fillId="5" fontId="10" numFmtId="4" xfId="0" applyAlignment="1" applyBorder="1" applyFont="1" applyNumberFormat="1">
      <alignment horizontal="center"/>
    </xf>
    <xf borderId="1" fillId="0" fontId="15" numFmtId="0" xfId="0" applyAlignment="1" applyBorder="1" applyFont="1">
      <alignment horizontal="center" vertical="center"/>
    </xf>
    <xf borderId="3" fillId="0" fontId="15" numFmtId="49" xfId="0" applyAlignment="1" applyBorder="1" applyFont="1" applyNumberFormat="1">
      <alignment horizontal="center" vertical="center"/>
    </xf>
    <xf borderId="3" fillId="0" fontId="15" numFmtId="0" xfId="0" applyAlignment="1" applyBorder="1" applyFont="1">
      <alignment horizontal="center" vertical="center"/>
    </xf>
    <xf borderId="3" fillId="0" fontId="15" numFmtId="0" xfId="0" applyAlignment="1" applyBorder="1" applyFont="1">
      <alignment vertical="center"/>
    </xf>
    <xf borderId="3" fillId="0" fontId="15" numFmtId="0" xfId="0" applyAlignment="1" applyBorder="1" applyFont="1">
      <alignment horizontal="center" shrinkToFit="0" vertical="center" wrapText="1"/>
    </xf>
    <xf borderId="3" fillId="0" fontId="15" numFmtId="164" xfId="0" applyAlignment="1" applyBorder="1" applyFont="1" applyNumberFormat="1">
      <alignment horizontal="center" shrinkToFit="0" vertical="center" wrapText="1"/>
    </xf>
    <xf borderId="3" fillId="6" fontId="15" numFmtId="14" xfId="0" applyAlignment="1" applyBorder="1" applyFont="1" applyNumberFormat="1">
      <alignment horizontal="center" vertical="center"/>
    </xf>
    <xf borderId="3" fillId="0" fontId="15" numFmtId="14" xfId="0" applyAlignment="1" applyBorder="1" applyFont="1" applyNumberFormat="1">
      <alignment horizontal="center" vertical="center"/>
    </xf>
    <xf borderId="3" fillId="0" fontId="15" numFmtId="165" xfId="0" applyAlignment="1" applyBorder="1" applyFont="1" applyNumberFormat="1">
      <alignment horizontal="center" vertical="center"/>
    </xf>
    <xf borderId="3" fillId="0" fontId="15" numFmtId="4" xfId="0" applyAlignment="1" applyBorder="1" applyFont="1" applyNumberFormat="1">
      <alignment horizontal="center" shrinkToFit="0" vertical="center" wrapText="1"/>
    </xf>
    <xf borderId="3" fillId="0" fontId="15" numFmtId="4" xfId="0" applyAlignment="1" applyBorder="1" applyFont="1" applyNumberFormat="1">
      <alignment horizontal="center" vertical="center"/>
    </xf>
    <xf borderId="3" fillId="5" fontId="15" numFmtId="4" xfId="0" applyAlignment="1" applyBorder="1" applyFont="1" applyNumberFormat="1">
      <alignment horizontal="center" vertical="center"/>
    </xf>
    <xf borderId="3" fillId="0" fontId="15" numFmtId="4" xfId="0" applyAlignment="1" applyBorder="1" applyFont="1" applyNumberFormat="1">
      <alignment vertical="center"/>
    </xf>
    <xf borderId="3" fillId="0" fontId="15" numFmtId="164" xfId="0" applyAlignment="1" applyBorder="1" applyFont="1" applyNumberFormat="1">
      <alignment horizontal="center" vertical="center"/>
    </xf>
    <xf borderId="11" fillId="0" fontId="7" numFmtId="0" xfId="0" applyAlignment="1" applyBorder="1" applyFont="1">
      <alignment shrinkToFit="0" vertical="center" wrapText="0"/>
    </xf>
    <xf borderId="11" fillId="0" fontId="7" numFmtId="10" xfId="0" applyAlignment="1" applyBorder="1" applyFont="1" applyNumberFormat="1">
      <alignment shrinkToFit="0" vertical="center" wrapText="0"/>
    </xf>
    <xf borderId="11" fillId="0" fontId="7" numFmtId="4" xfId="0" applyAlignment="1" applyBorder="1" applyFont="1" applyNumberFormat="1">
      <alignment shrinkToFit="0" vertical="center" wrapText="0"/>
    </xf>
    <xf borderId="11" fillId="0" fontId="7" numFmtId="0" xfId="0" applyBorder="1" applyFont="1"/>
    <xf borderId="0" fillId="0" fontId="14" numFmtId="0" xfId="0" applyFont="1"/>
    <xf borderId="12" fillId="0" fontId="12" numFmtId="4" xfId="0" applyAlignment="1" applyBorder="1" applyFont="1" applyNumberFormat="1">
      <alignment horizontal="center" vertical="center"/>
    </xf>
    <xf borderId="12" fillId="0" fontId="13" numFmtId="4" xfId="0" applyAlignment="1" applyBorder="1" applyFont="1" applyNumberFormat="1">
      <alignment horizontal="center" vertical="center"/>
    </xf>
    <xf borderId="3" fillId="0" fontId="12" numFmtId="49" xfId="0" applyAlignment="1" applyBorder="1" applyFont="1" applyNumberFormat="1">
      <alignment horizontal="center" shrinkToFit="0" vertical="center" wrapText="1"/>
    </xf>
    <xf borderId="0" fillId="0" fontId="7" numFmtId="4" xfId="0" applyFont="1" applyNumberFormat="1"/>
    <xf borderId="13" fillId="0" fontId="14" numFmtId="0" xfId="0" applyBorder="1" applyFont="1"/>
    <xf borderId="3" fillId="0" fontId="15" numFmtId="49" xfId="0" applyAlignment="1" applyBorder="1" applyFont="1" applyNumberFormat="1">
      <alignment vertical="center"/>
    </xf>
    <xf borderId="3" fillId="0" fontId="15" numFmtId="49" xfId="0" applyAlignment="1" applyBorder="1" applyFont="1" applyNumberFormat="1">
      <alignment horizontal="center" shrinkToFit="0" vertical="center" wrapText="1"/>
    </xf>
    <xf borderId="3" fillId="0" fontId="15" numFmtId="169" xfId="0" applyAlignment="1" applyBorder="1" applyFont="1" applyNumberFormat="1">
      <alignment horizontal="center" vertical="center"/>
    </xf>
    <xf borderId="0" fillId="0" fontId="15" numFmtId="0" xfId="0" applyAlignment="1" applyFont="1">
      <alignment horizontal="center" shrinkToFit="0" vertical="center" wrapText="1"/>
    </xf>
    <xf borderId="13" fillId="0" fontId="15" numFmtId="4" xfId="0" applyAlignment="1" applyBorder="1" applyFont="1" applyNumberFormat="1">
      <alignment vertical="center"/>
    </xf>
    <xf borderId="13" fillId="0" fontId="13" numFmtId="4" xfId="0" applyAlignment="1" applyBorder="1" applyFont="1" applyNumberFormat="1">
      <alignment vertical="center"/>
    </xf>
    <xf borderId="0" fillId="0" fontId="13" numFmtId="0" xfId="0" applyAlignment="1" applyFont="1">
      <alignment horizontal="center" shrinkToFit="0" vertical="center" wrapText="1"/>
    </xf>
    <xf borderId="1" fillId="0" fontId="12" numFmtId="10" xfId="0" applyAlignment="1" applyBorder="1" applyFont="1" applyNumberFormat="1">
      <alignment horizontal="center" shrinkToFit="0" vertical="center" wrapText="1"/>
    </xf>
    <xf borderId="3" fillId="0" fontId="15" numFmtId="166" xfId="0" applyAlignment="1" applyBorder="1" applyFont="1" applyNumberFormat="1">
      <alignment horizontal="center" shrinkToFit="0" vertical="center" wrapText="1"/>
    </xf>
    <xf borderId="3" fillId="0" fontId="12" numFmtId="49" xfId="0" applyAlignment="1" applyBorder="1" applyFont="1" applyNumberFormat="1">
      <alignment vertical="center"/>
    </xf>
    <xf borderId="3" fillId="0" fontId="13" numFmtId="49" xfId="0" applyAlignment="1" applyBorder="1" applyFont="1" applyNumberFormat="1">
      <alignment shrinkToFit="0" vertical="center" wrapText="1"/>
    </xf>
    <xf borderId="14" fillId="5" fontId="12" numFmtId="4" xfId="0" applyAlignment="1" applyBorder="1" applyFont="1" applyNumberFormat="1">
      <alignment horizontal="center" vertical="center"/>
    </xf>
    <xf borderId="15" fillId="0" fontId="13" numFmtId="4" xfId="0" applyAlignment="1" applyBorder="1" applyFont="1" applyNumberFormat="1">
      <alignment horizontal="center" vertical="center"/>
    </xf>
    <xf borderId="3" fillId="0" fontId="12" numFmtId="49" xfId="0" applyAlignment="1" applyBorder="1" applyFont="1" applyNumberFormat="1">
      <alignment shrinkToFit="0" vertical="center" wrapText="1"/>
    </xf>
    <xf borderId="3" fillId="5" fontId="13" numFmtId="4" xfId="0" applyAlignment="1" applyBorder="1" applyFont="1" applyNumberFormat="1">
      <alignment horizontal="center" vertical="center"/>
    </xf>
    <xf borderId="3" fillId="0" fontId="15" numFmtId="49" xfId="0" applyAlignment="1" applyBorder="1" applyFont="1" applyNumberFormat="1">
      <alignment shrinkToFit="0" vertical="center" wrapText="1"/>
    </xf>
    <xf borderId="3" fillId="0" fontId="16" numFmtId="14" xfId="0" applyAlignment="1" applyBorder="1" applyFont="1" applyNumberFormat="1">
      <alignment horizontal="center" vertical="center"/>
    </xf>
    <xf borderId="3" fillId="0" fontId="15" numFmtId="4" xfId="0" applyAlignment="1" applyBorder="1" applyFont="1" applyNumberFormat="1">
      <alignment horizontal="center" readingOrder="0" vertical="center"/>
    </xf>
    <xf borderId="3" fillId="0" fontId="7" numFmtId="0" xfId="0" applyAlignment="1" applyBorder="1" applyFont="1">
      <alignment vertical="center"/>
    </xf>
    <xf borderId="8" fillId="0" fontId="15" numFmtId="0" xfId="0" applyAlignment="1" applyBorder="1" applyFont="1">
      <alignment horizontal="center" vertical="center"/>
    </xf>
    <xf borderId="3" fillId="0" fontId="7" numFmtId="0" xfId="0" applyAlignment="1" applyBorder="1" applyFont="1">
      <alignment horizontal="center" vertical="center"/>
    </xf>
    <xf borderId="1" fillId="0" fontId="12" numFmtId="0" xfId="0" applyAlignment="1" applyBorder="1" applyFont="1">
      <alignment horizontal="center" readingOrder="0" vertical="center"/>
    </xf>
    <xf borderId="3" fillId="0" fontId="13" numFmtId="0" xfId="0" applyAlignment="1" applyBorder="1" applyFont="1">
      <alignment horizontal="center" readingOrder="0" vertical="center"/>
    </xf>
    <xf borderId="3" fillId="0" fontId="13" numFmtId="49" xfId="0" applyAlignment="1" applyBorder="1" applyFont="1" applyNumberFormat="1">
      <alignment readingOrder="0" shrinkToFit="0" vertical="center" wrapText="1"/>
    </xf>
    <xf borderId="3" fillId="0" fontId="12" numFmtId="164" xfId="0" applyAlignment="1" applyBorder="1" applyFont="1" applyNumberFormat="1">
      <alignment horizontal="center" readingOrder="0" vertical="center"/>
    </xf>
    <xf borderId="3" fillId="0" fontId="13" numFmtId="167" xfId="0" applyAlignment="1" applyBorder="1" applyFont="1" applyNumberFormat="1">
      <alignment horizontal="center" readingOrder="0" vertical="center"/>
    </xf>
    <xf borderId="3" fillId="0" fontId="13" numFmtId="0" xfId="0" applyAlignment="1" applyBorder="1" applyFont="1">
      <alignment horizontal="center" readingOrder="0" shrinkToFit="0" vertical="center" wrapText="1"/>
    </xf>
    <xf borderId="3" fillId="0" fontId="13" numFmtId="4" xfId="0" applyAlignment="1" applyBorder="1" applyFont="1" applyNumberFormat="1">
      <alignment horizontal="center" readingOrder="0" vertical="center"/>
    </xf>
    <xf borderId="0" fillId="0" fontId="12" numFmtId="0" xfId="0" applyAlignment="1" applyFont="1">
      <alignment horizontal="center" vertical="center"/>
    </xf>
    <xf borderId="0" fillId="0" fontId="12" numFmtId="49" xfId="0" applyAlignment="1" applyFont="1" applyNumberFormat="1">
      <alignment horizontal="center" vertical="center"/>
    </xf>
    <xf borderId="3" fillId="0" fontId="12" numFmtId="0" xfId="0" applyAlignment="1" applyBorder="1" applyFont="1">
      <alignment horizontal="left" shrinkToFit="0" vertical="center" wrapText="1"/>
    </xf>
    <xf borderId="3" fillId="0" fontId="17" numFmtId="0" xfId="0" applyAlignment="1" applyBorder="1" applyFont="1">
      <alignment horizontal="center" vertical="center"/>
    </xf>
    <xf borderId="3" fillId="0" fontId="18" numFmtId="0" xfId="0" applyAlignment="1" applyBorder="1" applyFont="1">
      <alignment horizontal="center" shrinkToFit="0" vertical="center" wrapText="1"/>
    </xf>
    <xf borderId="3" fillId="0" fontId="18" numFmtId="14" xfId="0" applyAlignment="1" applyBorder="1" applyFont="1" applyNumberFormat="1">
      <alignment horizontal="center" vertical="center"/>
    </xf>
    <xf borderId="3" fillId="0" fontId="17" numFmtId="14" xfId="0" applyAlignment="1" applyBorder="1" applyFont="1" applyNumberFormat="1">
      <alignment horizontal="center" vertical="center"/>
    </xf>
    <xf borderId="3" fillId="0" fontId="12" numFmtId="168" xfId="0" applyAlignment="1" applyBorder="1" applyFont="1" applyNumberFormat="1">
      <alignment horizontal="center" vertical="center"/>
    </xf>
    <xf borderId="0" fillId="0" fontId="19" numFmtId="167" xfId="0" applyFont="1" applyNumberFormat="1"/>
    <xf borderId="0" fillId="0" fontId="12" numFmtId="0" xfId="0" applyAlignment="1" applyFont="1">
      <alignment horizontal="left" shrinkToFit="0" vertical="center" wrapText="1"/>
    </xf>
    <xf borderId="0" fillId="0" fontId="17" numFmtId="0" xfId="0" applyAlignment="1" applyFont="1">
      <alignment horizontal="center" vertical="center"/>
    </xf>
    <xf borderId="0" fillId="0" fontId="18" numFmtId="0" xfId="0" applyAlignment="1" applyFont="1">
      <alignment horizontal="center" shrinkToFit="0" vertical="center" wrapText="1"/>
    </xf>
    <xf borderId="0" fillId="0" fontId="18" numFmtId="14" xfId="0" applyAlignment="1" applyFont="1" applyNumberFormat="1">
      <alignment horizontal="center" vertical="center"/>
    </xf>
    <xf borderId="0" fillId="0" fontId="18" numFmtId="167" xfId="0" applyAlignment="1" applyFont="1" applyNumberFormat="1">
      <alignment horizontal="center" vertical="center"/>
    </xf>
    <xf borderId="0" fillId="0" fontId="17" numFmtId="167" xfId="0" applyAlignment="1" applyFont="1" applyNumberFormat="1">
      <alignment horizontal="center" vertical="center"/>
    </xf>
    <xf borderId="0" fillId="0" fontId="13" numFmtId="0" xfId="0" applyAlignment="1" applyFont="1">
      <alignment horizontal="center" vertical="center"/>
    </xf>
    <xf borderId="0" fillId="0" fontId="12" numFmtId="168" xfId="0" applyAlignment="1" applyFont="1" applyNumberFormat="1">
      <alignment horizontal="center" vertical="center"/>
    </xf>
    <xf borderId="0" fillId="0" fontId="12" numFmtId="2" xfId="0" applyAlignment="1" applyFont="1" applyNumberFormat="1">
      <alignment vertical="center"/>
    </xf>
    <xf borderId="0" fillId="0" fontId="12" numFmtId="4" xfId="0" applyAlignment="1" applyFont="1" applyNumberFormat="1">
      <alignment vertical="center"/>
    </xf>
    <xf borderId="0" fillId="0" fontId="20" numFmtId="170" xfId="0" applyAlignment="1" applyFont="1" applyNumberFormat="1">
      <alignment vertical="center"/>
    </xf>
    <xf borderId="0" fillId="0" fontId="20" numFmtId="0" xfId="0" applyAlignment="1" applyFont="1">
      <alignment vertical="center"/>
    </xf>
    <xf borderId="0" fillId="0" fontId="7" numFmtId="0" xfId="0" applyAlignment="1" applyFont="1">
      <alignment vertical="center"/>
    </xf>
    <xf borderId="0" fillId="0" fontId="14" numFmtId="0" xfId="0" applyAlignment="1" applyFont="1">
      <alignment horizontal="center"/>
    </xf>
    <xf borderId="0" fillId="0" fontId="7" numFmtId="2" xfId="0" applyFont="1" applyNumberFormat="1"/>
    <xf borderId="0" fillId="0" fontId="14" numFmtId="0" xfId="0" applyAlignment="1" applyFont="1">
      <alignment shrinkToFit="0" wrapText="1"/>
    </xf>
    <xf borderId="0" fillId="0" fontId="14" numFmtId="14" xfId="0" applyFont="1" applyNumberFormat="1"/>
    <xf borderId="0" fillId="0" fontId="14" numFmtId="167" xfId="0" applyFont="1" applyNumberFormat="1"/>
    <xf borderId="0" fillId="0" fontId="14" numFmtId="2" xfId="0" applyFont="1" applyNumberFormat="1"/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006100"/>
      </font>
      <fill>
        <patternFill patternType="solid">
          <fgColor rgb="FFE2F0D9"/>
          <bgColor rgb="FFE2F0D9"/>
        </patternFill>
      </fill>
      <border/>
    </dxf>
    <dxf>
      <font>
        <b/>
        <color rgb="FF9C6500"/>
      </font>
      <fill>
        <patternFill patternType="solid">
          <fgColor rgb="FFFFF2CC"/>
          <bgColor rgb="FFFFF2CC"/>
        </patternFill>
      </fill>
      <border/>
    </dxf>
    <dxf>
      <font>
        <b/>
        <color rgb="FF9C0006"/>
      </font>
      <fill>
        <patternFill patternType="solid">
          <fgColor rgb="FFF4CCCC"/>
          <bgColor rgb="FFF4CCCC"/>
        </patternFill>
      </fill>
      <border/>
    </dxf>
  </dxfs>
  <tableStyles count="1">
    <tableStyle count="4" pivot="0" name="CONFERÊNCIA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pivotCacheDefinition" Target="pivotCache/pivotCacheDefinition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AI261" sheet="Planilha atualizada"/>
  </cacheSource>
  <cacheFields>
    <cacheField name="ANO CONTRATO">
      <sharedItems containsBlank="1" containsMixedTypes="1" containsNumber="1" containsInteger="1">
        <n v="2025.0"/>
        <s v="2024"/>
        <s v="2023"/>
        <s v="2022"/>
        <s v="2026"/>
        <s v="2021"/>
        <s v="2025"/>
        <s v="2019"/>
        <n v="2026.0"/>
        <s v="2020"/>
        <s v="2017"/>
        <m/>
      </sharedItems>
    </cacheField>
    <cacheField name="Nº CONTRATO" numFmtId="49">
      <sharedItems containsBlank="1">
        <s v="23/2025"/>
        <s v="29/2024"/>
        <s v="22/2023"/>
        <s v="10/2022"/>
        <s v="SN/2026"/>
        <s v="22/2021"/>
        <s v="25/2025"/>
        <s v="05/2025"/>
        <s v="03/2023"/>
        <s v="08/2023"/>
        <s v="14/2022"/>
        <s v="23/2024"/>
        <s v="20/2019"/>
        <s v="23/2023"/>
        <s v="34/2021"/>
        <s v="19/2025"/>
        <s v="12/2025"/>
        <s v="05/2026"/>
        <s v="07/2022"/>
        <s v="14/2020"/>
        <s v="42/2024"/>
        <s v="21/2017"/>
        <s v="10/2025"/>
        <s v="35/2024"/>
        <s v="10/2026"/>
        <s v="14/2025"/>
        <s v="36/2024"/>
        <s v="28/2021"/>
        <s v="02/2026"/>
        <s v="08/2026"/>
        <s v="07/2026"/>
        <s v="29/2021"/>
        <m/>
      </sharedItems>
    </cacheField>
    <cacheField name="Nº PROCESSO CONTRATAÇÃO" numFmtId="0">
      <sharedItems containsBlank="1">
        <s v="013125/2022-56"/>
        <s v="012543/2024-98"/>
        <s v="034470/2022-23"/>
        <s v="011359/2022-69"/>
        <s v="000214/2026-66"/>
        <s v="002117/2026-16"/>
        <s v="004447/2021-23"/>
        <s v="030835/2025-93"/>
        <s v="037427/2023-09"/>
        <s v="000273/2022-19"/>
        <s v="018309/2023-93"/>
        <s v="002291/2021-46"/>
        <s v="033084/2023-03"/>
        <s v="009124/2020-90"/>
        <s v="000844/2023-98"/>
        <s v="026373/2021-86"/>
        <s v="003653/2025-40"/>
        <s v="023363/2023-51"/>
        <s v="034544/2023-11"/>
        <s v="000744/2022-81"/>
        <s v="008841/2020-68"/>
        <s v="030584/2024-66"/>
        <s v="016402/2021-00"/>
        <s v="019964/2023-69"/>
        <s v="013415/2021-19"/>
        <s v="013683/2026-45"/>
        <s v="016559/2025-51"/>
        <s v="016763/2024-91"/>
        <s v="003636/2021-89"/>
        <s v="025699/2025-10"/>
        <s v="19387/2024-96"/>
        <s v="027455/2025-71"/>
        <s v="006789/2021-88"/>
        <s v="030744/2025-58"/>
        <m/>
      </sharedItems>
    </cacheField>
    <cacheField name="Nº PROCESSO EMPENHO" numFmtId="0">
      <sharedItems containsBlank="1">
        <s v="001370/2026-44"/>
        <s v="000214/2026-66"/>
        <s v="002117/2026-16"/>
        <s v="000220/2026-13"/>
        <s v="013683/2026-45"/>
        <s v="19387/2024-96"/>
        <s v="027455/2025-71"/>
        <s v="030744/2025-58"/>
        <m/>
      </sharedItems>
    </cacheField>
    <cacheField name="FORNECEDOR" numFmtId="49">
      <sharedItems containsBlank="1">
        <s v="Associação Paranaense de Cultura - APC"/>
        <s v="Brascon Gestão Ambiental Ltda"/>
        <s v="Carvalho e Suassuna Ltda"/>
        <s v="Claro S/A"/>
        <s v="Companhia Energética de Pernambuco"/>
        <s v="Companhia Pernambucana de Saneamento"/>
        <s v="Digital Tecnologia &amp; Telecomunicação Ltda"/>
        <s v="DSA - Consultoria Ltda"/>
        <s v="Ecos Turismo Ltda"/>
        <s v="Elétrica Montagens &amp; Manutenção Ltda"/>
        <s v="Empresa Brasileira de Correios e Telégrafos"/>
        <s v="Inteligência Segurança Privada Ltda"/>
        <s v="Lavebrás Gestão de Texteis S/A"/>
        <s v="Luiz Barbosa Maciel (aguardando invenariante)"/>
        <s v="Maxifrota Serviços de Manutenção de Frota Ltda"/>
        <s v="MBM Seguradora SA"/>
        <s v="Minha Biblioteca Ltda"/>
        <s v="Nobre Sabor Refeições Ltda"/>
        <s v="Oi S/A - Em Recuperação Judicial"/>
        <s v="Prime Consultoria e Assessoria Empresarial Ltda"/>
        <s v="Rede Nacional de Ensino e Pesquisa - RNP"/>
        <s v="Rio Ave Imóveis Ltda"/>
        <s v="Serval Serviços e Limpeza Ltda (agrárias)"/>
        <s v="Serval Serviços e Limpeza Ltda (apoio adm.)"/>
        <s v="Serval Serviços e Limpeza Ltda (apoio adm.) - Emergencial"/>
        <s v="Serval Serviços e Limpeza Ltda (limpeza)"/>
        <s v="Serviço Federal de Processamento de Dados"/>
        <s v="Sim Gestão Ambiental Serviços Ltda"/>
        <s v="SOLL - Serviços, Obras e Locações Ltda"/>
        <s v="SOLUCOES  SERVICOS DE LOCACAO DE MAQUINAS E EQUIPAMENTO"/>
        <s v="TARGET ENGENHARIA E CONSULTORIA LTDA"/>
        <s v="Tekis Tecnologias Avançadas Ltda"/>
        <s v="SERCOSERV SERVICOS TERCEIRIZADOS LTDA."/>
        <m/>
      </sharedItems>
    </cacheField>
    <cacheField name="TIPO" numFmtId="0">
      <sharedItems containsBlank="1">
        <s v="CONTÍNUO"/>
        <s v="SUSPENSO"/>
        <s v="DESPESA ANUAL"/>
        <s v="REAJUSTE"/>
        <s v="DESPESA ANUAL "/>
        <m/>
      </sharedItems>
    </cacheField>
    <cacheField name="TIPO DE DESPESA" numFmtId="49">
      <sharedItems containsBlank="1">
        <s v="SOLUÇÃO DE TIC"/>
        <s v="COLETA DE RESÍDUO"/>
        <s v="ALIMENTAÇÃO"/>
        <s v="TELEFONIA MÓVEL"/>
        <s v="ENERGIA ELÉTRICA"/>
        <s v="ÁGUA E ESGOTO"/>
        <s v="PUBLICIDADE LEGAL"/>
        <s v="PASSAGEM AÉREA"/>
        <s v="MANUTENÇÃO AR-CONDICIONADO"/>
        <s v="SERVIÇOS POSTAIS"/>
        <s v="SERVIÇO DE VIGILÂNCIA"/>
        <s v="HIGIENE HOSPITALAR"/>
        <s v="ALUGUEL DE IMÓVEL"/>
        <s v="COMBUSTÍVEL"/>
        <s v="SEGURO ESTAGIÁRIOS"/>
        <s v="RU PÓS-GRADUAÇÃO"/>
        <s v="TELEFONIA FIXA"/>
        <s v="MANUTENÇÃO DE VEÍCULO"/>
        <s v="APOIO ADMINISTRATIVO"/>
        <s v="SERVIÇO DE LIMPEZA"/>
        <s v="MANUTENÇÃO PREDIAL"/>
        <m/>
      </sharedItems>
    </cacheField>
    <cacheField name="CNPJ/CPF FORNEC">
      <sharedItems containsBlank="1" containsMixedTypes="1" containsNumber="1" containsInteger="1">
        <s v="76659820000151"/>
        <n v="1.186353000018E13"/>
        <s v="12693919000197"/>
        <s v="40432544000147"/>
        <s v="10835932000108"/>
        <s v="09769035000164"/>
        <n v="7.578965000105E12"/>
        <n v="3.5616978000167E13"/>
        <n v="6.157430000106E12"/>
        <n v="1.0264684000192E13"/>
        <s v="34028316002157"/>
        <s v="11808559000169"/>
        <s v="06272575004803"/>
        <n v="1.3487337487E10"/>
        <n v="2.7284516000161E13"/>
        <n v="8.7883807000106E13"/>
        <n v="1.3183749000163E13"/>
        <n v="2.4201145000119E13"/>
        <n v="7.6535764000143E13"/>
        <s v="05340639000130"/>
        <n v="3.508097000136E12"/>
        <s v="10729661000106"/>
        <s v="07360290000123"/>
        <n v="3.3683111000107E13"/>
        <n v="7.575881000118E12"/>
        <n v="3.23090000151E11"/>
        <n v="7.759174000181E12"/>
        <n v="2.8000129E7"/>
        <n v="7.67474400013E12"/>
        <n v="8.717223000186E12"/>
        <m/>
      </sharedItems>
    </cacheField>
    <cacheField name="DT VIGÊNCIA CONTRATO">
      <sharedItems containsDate="1" containsBlank="1" containsMixedTypes="1">
        <d v="2026-12-03T00:00:00Z"/>
        <d v="2026-08-23T00:00:00Z"/>
        <d v="2026-10-03T00:00:00Z"/>
        <d v="2026-06-17T00:00:00Z"/>
        <s v="-"/>
        <d v="2026-08-24T00:00:00Z"/>
        <d v="2026-11-18T00:00:00Z"/>
        <d v="2027-01-17T00:00:00Z"/>
        <d v="2027-02-16T00:00:00Z"/>
        <d v="2026-09-11T00:00:00Z"/>
        <d v="2026-09-01T00:00:00Z"/>
        <d v="2027-06-20T00:00:00Z"/>
        <d v="2026-12-05T00:00:00Z"/>
        <d v="2026-10-30T00:00:00Z"/>
        <d v="2026-12-21T00:00:00Z"/>
        <d v="2026-09-28T00:00:00Z"/>
        <d v="2026-08-01T00:00:00Z"/>
        <d v="2027-02-20T00:00:00Z"/>
        <d v="2026-04-29T00:00:00Z"/>
        <d v="2026-07-09T00:00:00Z"/>
        <d v="2027-12-31T00:00:00Z"/>
        <d v="2027-05-28T00:00:00Z"/>
        <d v="2027-05-07T00:00:00Z"/>
        <d v="2026-12-17T00:00:00Z"/>
        <d v="2029-10-16T00:00:00Z"/>
        <d v="2026-09-30T00:00:00Z"/>
        <d v="2027-01-21T00:00:00Z"/>
        <d v="2027-03-11T00:00:00Z"/>
        <d v="2026-10-17T00:00:00Z"/>
        <d v="2027-07-29T00:00:00Z"/>
        <m/>
      </sharedItems>
    </cacheField>
    <cacheField name="HOJE" numFmtId="14">
      <sharedItems containsDate="1" containsString="0" containsBlank="1">
        <d v="2026-08-11T00:00:00Z"/>
        <m/>
      </sharedItems>
    </cacheField>
    <cacheField name="STATUS" numFmtId="14">
      <sharedItems containsBlank="1">
        <s v="ATIVO"/>
        <s v="VENCIDO"/>
        <m/>
      </sharedItems>
    </cacheField>
    <cacheField name="UNIDADE" numFmtId="49">
      <sharedItems containsBlank="1">
        <s v="SIB"/>
        <s v="SINFRA"/>
        <s v="PRPG"/>
        <s v="CODAI"/>
        <s v="UABJ"/>
        <s v="PROPLAD"/>
        <s v="HVU"/>
        <s v="PREG"/>
        <s v="STD"/>
        <s v="UACSA"/>
        <s v="EDITORA"/>
        <m/>
      </sharedItems>
    </cacheField>
    <cacheField name="AÇÃO" numFmtId="0">
      <sharedItems containsBlank="1">
        <s v="20RK"/>
        <s v="20RL"/>
        <m/>
      </sharedItems>
    </cacheField>
    <cacheField name="PTRES" numFmtId="0">
      <sharedItems containsString="0" containsBlank="1" containsNumber="1" containsInteger="1">
        <n v="230390.0"/>
        <n v="230386.0"/>
        <n v="230398.0"/>
        <m/>
      </sharedItems>
    </cacheField>
    <cacheField name="FONTE" numFmtId="165">
      <sharedItems containsString="0" containsBlank="1" containsNumber="1" containsInteger="1">
        <n v="1000.0"/>
        <m/>
      </sharedItems>
    </cacheField>
    <cacheField name="ND" numFmtId="0">
      <sharedItems containsString="0" containsBlank="1" containsNumber="1" containsInteger="1">
        <n v="339040.0"/>
        <n v="339039.0"/>
        <n v="339047.0"/>
        <n v="339033.0"/>
        <n v="339037.0"/>
        <n v="339036.0"/>
        <n v="339030.0"/>
        <m/>
      </sharedItems>
    </cacheField>
    <cacheField name="UGR" numFmtId="0">
      <sharedItems containsString="0" containsBlank="1" containsNumber="1" containsInteger="1">
        <n v="157842.0"/>
        <n v="157909.0"/>
        <n v="157658.0"/>
        <n v="151928.0"/>
        <n v="156789.0"/>
        <n v="157742.0"/>
        <n v="157978.0"/>
        <n v="157684.0"/>
        <n v="157883.0"/>
        <n v="158647.0"/>
        <n v="157908.0"/>
        <m/>
      </sharedItems>
    </cacheField>
    <cacheField name="PI" numFmtId="0">
      <sharedItems containsBlank="1">
        <s v="M20RKG35SCN"/>
        <s v="M20RKG01SCN"/>
        <s v="M20RKO94SCN"/>
        <s v="L20RLP01SCN"/>
        <s v="M20RKG01TXN"/>
        <s v="L20RLP01TXN"/>
        <s v="M20RKG71SCN"/>
        <s v="M20RKG19SCN"/>
        <s v="M20RKO35SCN"/>
        <m/>
      </sharedItems>
    </cacheField>
    <cacheField name="VÁRIOS ITENS LIC." numFmtId="0">
      <sharedItems containsBlank="1">
        <s v="SIM"/>
        <s v="NÃO"/>
        <m/>
      </sharedItems>
    </cacheField>
    <cacheField name="OBSERVAÇÃO" numFmtId="0">
      <sharedItems containsString="0" containsBlank="1">
        <m/>
      </sharedItems>
    </cacheField>
    <cacheField name="EMPENHO" numFmtId="0">
      <sharedItems containsBlank="1">
        <s v="2026NE000100"/>
        <s v="2026NE000094"/>
        <s v="2026NE000092"/>
        <s v="2026NE000087"/>
        <s v="2026NE000183"/>
        <s v="2026NE000184"/>
        <s v="2026NE000185"/>
        <s v="2026NE000186"/>
        <s v="2026NE000175"/>
        <s v="2026NE000176"/>
        <s v="2026NE000114"/>
        <s v="2026NE000131"/>
        <s v="2026NE000007"/>
        <s v="-"/>
        <s v="2026NE000089"/>
        <s v="2026NE000090"/>
        <s v="2026NE000091"/>
        <s v="2026NE000088"/>
        <s v="2026NE000115"/>
        <s v="2026NE000116"/>
        <s v="2026NE000085"/>
        <s v="2026NE000098"/>
        <s v="2026NE000148"/>
        <m/>
        <s v="2026NE000082"/>
        <s v="2026NE000167"/>
        <s v="2026NE000081"/>
        <s v="2026NE000097"/>
        <s v="2026NE000095"/>
        <s v="2026NE000350"/>
        <s v="2026NE000099"/>
        <s v="2026NE000096"/>
        <s v="2026NE000083"/>
        <s v="2026NE000003"/>
        <s v="2026NE000178"/>
        <s v="2026NE000130"/>
        <s v="2026NE000084"/>
        <s v="2026NE000425"/>
      </sharedItems>
    </cacheField>
    <cacheField name="NECESSIDADE DE EMPENHO" numFmtId="166">
      <sharedItems containsString="0" containsBlank="1" containsNumber="1">
        <n v="1.0"/>
        <n v="0.9999999999999991"/>
        <n v="0.1608469813189588"/>
        <m/>
        <n v="1.000271858594151"/>
        <n v="1.000458169398697"/>
        <n v="0.992849487276283"/>
        <n v="1.0214065654082818"/>
        <n v="0.9490784735693509"/>
        <n v="0.9851761675203372"/>
        <n v="0.0"/>
        <n v="3.1023515859766273"/>
        <n v="3.1032941666666667"/>
        <n v="3.11255"/>
        <n v="3.1630363636363636"/>
        <n v="2.1023515859766273"/>
        <n v="1.999999999568594"/>
        <n v="2.0"/>
        <n v="5.098862134830548"/>
        <n v="1.0000297951582873"/>
        <n v="0.9999992779908506"/>
        <n v="6.0"/>
        <n v="1.0000044090090752"/>
        <n v="0.9999897122869585"/>
        <n v="6.024388121924032"/>
      </sharedItems>
    </cacheField>
    <cacheField name="MESES DE SALDO" numFmtId="166">
      <sharedItems containsString="0" containsBlank="1" containsNumber="1">
        <n v="0.0"/>
        <n v="1.9360353623231328"/>
        <n v="2.519477332328862"/>
        <n v="0.22072769864359465"/>
        <n v="1.3439748399999996"/>
        <n v="1.117057222222222"/>
        <n v="0.8989279999999997"/>
        <n v="0.5805200000000008"/>
        <n v="0.24552533333333404"/>
        <n v="4.62771923076923"/>
        <n v="0.16667200000000015"/>
        <n v="3.1636363636363636"/>
        <n v="2.4614612366495443"/>
        <m/>
        <n v="2.0398717086558653"/>
        <n v="5.092611987415617"/>
        <n v="2.39536"/>
        <n v="0.02044860485966371"/>
        <n v="0.8980140708419704"/>
        <n v="0.9408977223541282"/>
        <n v="0.9408685044616636"/>
        <n v="0.9420617238060025"/>
        <n v="0.9375833059280234"/>
        <n v="0.9489260426770123"/>
        <n v="0.9432650798433269"/>
        <n v="0.5737142857142858"/>
        <n v="1.6611943150953028"/>
        <n v="3.454336964941569"/>
        <n v="3.453501591666666"/>
        <n v="3.445298499999999"/>
        <n v="3.4452985"/>
        <n v="3.4005543636363633"/>
        <n v="1.4472960411520441"/>
        <n v="0.001721699611005434"/>
        <n v="0.7174341155729866"/>
        <n v="3.2585280845873648"/>
        <n v="1.9011378651694522"/>
        <n v="0.5397308838028421"/>
        <n v="1.2503836126629428"/>
        <n v="1.250383612662942"/>
        <n v="0.181986016126797"/>
        <n v="0.3221156278111801"/>
        <n v="1.8732943469785575"/>
        <n v="2.7457142857142856"/>
        <n v="16.56896551724138"/>
        <n v="24.025"/>
        <n v="4.860932505419413E-4"/>
        <n v="4.860944412063972E-4"/>
        <n v="0.9756118780759678"/>
      </sharedItems>
    </cacheField>
    <cacheField name="MÊS ATUAL" numFmtId="166">
      <sharedItems containsString="0" containsBlank="1" containsNumber="1" containsInteger="1">
        <n v="7.0"/>
        <m/>
        <n v="6.0"/>
      </sharedItems>
    </cacheField>
    <cacheField name="MESES EMPENHADOS" numFmtId="166">
      <sharedItems containsString="0" containsBlank="1" containsNumber="1">
        <n v="6.0"/>
        <n v="6.000000000000001"/>
        <n v="6.839153018681041"/>
        <m/>
        <n v="5.999728141405849"/>
        <n v="5.999541830601303"/>
        <n v="6.007150512723717"/>
        <n v="5.978593434591718"/>
        <n v="6.050921526430649"/>
        <n v="6.014823832479663"/>
        <n v="7.0"/>
        <n v="3.8976484140233727"/>
        <n v="3.8967058333333333"/>
        <n v="3.88745"/>
        <n v="3.8369636363636364"/>
        <n v="4.000000000431406"/>
        <n v="4.0"/>
        <n v="1.9011378651694522"/>
        <n v="5.999970204841713"/>
        <n v="6.000000722009149"/>
        <n v="0.0"/>
        <n v="5.999995590990925"/>
        <n v="6.0000102877130415"/>
        <n v="0.9756118780759678"/>
      </sharedItems>
    </cacheField>
    <cacheField name="MESES LIQUIDADOS" numFmtId="166">
      <sharedItems containsString="0" containsBlank="1" containsNumber="1">
        <n v="6.0"/>
        <n v="6.000000000000001"/>
        <n v="4.063964637676867"/>
        <n v="3.480522667671138"/>
        <n v="5.779272301356405"/>
        <n v="4.65602516"/>
        <n v="4.882942777777778"/>
        <n v="5.101072"/>
        <n v="5.419479999999999"/>
        <n v="5.754474666666666"/>
        <n v="1.3722807692307692"/>
        <n v="5.833328"/>
        <n v="2.8363636363636364"/>
        <n v="4.377691782031497"/>
        <m/>
        <n v="3.9601282913441356"/>
        <n v="0.9073880125843837"/>
        <n v="3.60464"/>
        <n v="5.979551395140337"/>
        <n v="5.10198592915803"/>
        <n v="5.058830419051721"/>
        <n v="5.0586733261396395"/>
        <n v="5.0650887889177145"/>
        <n v="5.041010128663695"/>
        <n v="5.101995483753637"/>
        <n v="5.071558752636336"/>
        <n v="6.426285714285714"/>
        <n v="4.338805684904697"/>
        <n v="0.44331144908180353"/>
        <n v="0.4432042416666674"/>
        <n v="0.44215150000000075"/>
        <n v="0.4421514999999999"/>
        <n v="0.43640927272727287"/>
        <n v="4.000000000431406"/>
        <n v="4.0"/>
        <n v="4.552703958847956"/>
        <n v="5.998278300388995"/>
        <n v="5.282565884427013"/>
        <n v="2.7414719154126352"/>
        <n v="0.0"/>
        <n v="5.460269116197158"/>
        <n v="4.74958659217877"/>
        <n v="4.749586592178771"/>
        <n v="5.818014705882352"/>
        <n v="5.67788437218882"/>
        <n v="-1.8732943469785575"/>
        <n v="-2.7457142857142856"/>
        <n v="-16.56896551724138"/>
        <n v="-24.025"/>
        <n v="5.999509497740383"/>
        <n v="5.999524193271835"/>
      </sharedItems>
    </cacheField>
    <cacheField name="ITEM LIC." numFmtId="0">
      <sharedItems containsString="0" containsBlank="1" containsNumber="1" containsInteger="1">
        <n v="3.0"/>
        <n v="2.0"/>
        <n v="1.0"/>
        <n v="4.0"/>
        <n v="6.0"/>
        <n v="5.0"/>
        <m/>
      </sharedItems>
    </cacheField>
    <cacheField name="%">
      <sharedItems containsBlank="1" containsMixedTypes="1" containsNumber="1">
        <n v="0.5117645220760554"/>
        <n v="0.48823547792394467"/>
        <n v="0.873633004834924"/>
        <n v="0.126366995165076"/>
        <s v="-"/>
        <n v="1.0"/>
        <m/>
        <n v="0.7209"/>
        <n v="0.2464"/>
        <n v="0.0187"/>
        <n v="0.0053"/>
        <n v="0.0045"/>
        <n v="0.0042"/>
        <n v="0.4204"/>
        <n v="0.1263"/>
        <n v="0.0168"/>
        <n v="0.014"/>
        <n v="0.0019"/>
        <n v="0.7836126629422718"/>
        <n v="0.2163873370577281"/>
        <e v="#DIV/0!"/>
        <n v="0.7"/>
        <n v="0.3"/>
      </sharedItems>
    </cacheField>
    <cacheField name="DESPESA MENSAL" numFmtId="4">
      <sharedItems containsString="0" containsBlank="1" containsNumber="1">
        <n v="1310.24"/>
        <n v="1250.0"/>
        <n v="17698.8"/>
        <n v="2560.0499999999997"/>
        <n v="7008.66"/>
        <n v="2117.36"/>
        <n v="750000.0"/>
        <n v="18000.0"/>
        <n v="2500.0"/>
        <n v="500.0"/>
        <n v="45000.0"/>
        <n v="2600.0"/>
        <n v="458.3333333333333"/>
        <n v="26047.8"/>
        <n v="0.0"/>
        <n v="45250.13"/>
        <n v="24185.53"/>
        <n v="750.0"/>
        <n v="927298.47"/>
        <n v="7859.041666666667"/>
        <n v="38794.38"/>
        <n v="79956.24"/>
        <n v="27329.49"/>
        <n v="2071.486"/>
        <n v="589.91"/>
        <n v="494.88"/>
        <n v="464.66"/>
        <n v="612.5"/>
        <n v="31200.0"/>
        <n v="88062.69"/>
        <n v="2396.0"/>
        <n v="720.0"/>
        <n v="96.0"/>
        <n v="80.0"/>
        <n v="11.0"/>
        <n v="77.26666666666667"/>
        <n v="68.08"/>
        <n v="96842.82"/>
        <m/>
        <n v="348940.08"/>
        <n v="301810.32"/>
        <n v="640882.48"/>
        <n v="797911.7599999999"/>
        <n v="824630.41"/>
        <n v="131.5"/>
        <n v="36.3125"/>
        <n v="5540.0960000000005"/>
        <n v="351687.19"/>
        <n v="5130.0"/>
        <n v="3500.0"/>
        <n v="580.0"/>
        <n v="400.0"/>
        <n v="5443.4"/>
        <n v="2332.88"/>
        <n v="811943.62"/>
        <n v="5522045.156166667"/>
      </sharedItems>
    </cacheField>
    <cacheField name="DESPESA ANUAL" numFmtId="4">
      <sharedItems containsString="0" containsBlank="1" containsNumber="1">
        <n v="15722.880000000001"/>
        <n v="15000.0"/>
        <n v="212385.59999999998"/>
        <n v="30720.6"/>
        <n v="84103.92"/>
        <n v="25408.32"/>
        <n v="9000000.0"/>
        <n v="216000.0"/>
        <n v="30000.0"/>
        <n v="6000.0"/>
        <n v="540000.0"/>
        <n v="31200.0"/>
        <n v="5500.0"/>
        <n v="312573.6"/>
        <n v="0.0"/>
        <n v="543001.5599999999"/>
        <n v="290226.36"/>
        <n v="9000.0"/>
        <n v="1.112758164E7"/>
        <n v="151470.0"/>
        <n v="465532.55999999994"/>
        <n v="959474.8800000001"/>
        <n v="327953.88"/>
        <n v="24857.832"/>
        <n v="7078.92"/>
        <n v="5938.5599999999995"/>
        <n v="5575.92"/>
        <n v="7350.0"/>
        <n v="374400.0"/>
        <n v="1056752.28"/>
        <n v="28752.0"/>
        <n v="8640.0"/>
        <n v="1152.0"/>
        <n v="960.0"/>
        <n v="132.0"/>
        <n v="2396.0"/>
        <n v="927.2"/>
        <n v="816.96"/>
        <n v="1162113.84"/>
        <n v="28155.0"/>
        <n v="4187280.96"/>
        <n v="3621723.84"/>
        <n v="7957298.4"/>
        <n v="9574941.12"/>
        <n v="9895564.92"/>
        <n v="1578.0"/>
        <n v="435.75"/>
        <n v="66481.152"/>
        <n v="4220246.28"/>
        <n v="61560.0"/>
        <n v="42000.0"/>
        <n v="6960.0"/>
        <n v="4800.0"/>
        <n v="9222.0"/>
        <n v="65320.799999999996"/>
        <n v="27994.56"/>
        <n v="9743323.44"/>
        <n v="6.6599433014E7"/>
        <m/>
      </sharedItems>
    </cacheField>
    <cacheField name="VALOR EMPENHADO" numFmtId="4">
      <sharedItems containsString="0" containsBlank="1" containsNumber="1">
        <n v="7861.4400000000005"/>
        <n v="7500.000000000001"/>
        <n v="106192.8"/>
        <n v="15360.3"/>
        <n v="42051.96"/>
        <n v="12704.16"/>
        <n v="4500000.0"/>
        <n v="108000.0"/>
        <n v="15000.0"/>
        <n v="3000.0"/>
        <n v="270000.0"/>
        <n v="15600.0"/>
        <n v="7500.0"/>
        <n v="2750.0"/>
        <n v="178144.89"/>
        <n v="0.0"/>
        <n v="271500.78"/>
        <n v="145113.18"/>
        <n v="4500.0"/>
        <n v="5563790.82"/>
        <n v="47154.25"/>
        <n v="479715.703209"/>
        <n v="163964.41846400002"/>
        <n v="12443.728187"/>
        <n v="3526.832053"/>
        <n v="2994.480045"/>
        <n v="2794.848042"/>
        <n v="4287.5"/>
        <n v="528376.14"/>
        <n v="9338.7656"/>
        <n v="2805.6282"/>
        <n v="373.1952"/>
        <n v="310.996"/>
        <n v="42.2066"/>
        <n v="309.0666667"/>
        <n v="272.32"/>
        <n v="581056.92"/>
        <n v="12600.0"/>
        <n v="2093640.48"/>
        <n v="1810861.92"/>
        <n v="3845294.88"/>
        <n v="1516940.26"/>
        <n v="4947782.46"/>
        <n v="788.9960819366852"/>
        <n v="217.8739180633147"/>
        <n v="33240.58"/>
        <n v="2110123.14"/>
        <n v="9222.0"/>
        <n v="32660.375999999997"/>
        <n v="13997.304"/>
        <n v="792141.84"/>
        <n v="2.9553046363866698E7"/>
        <m/>
      </sharedItems>
    </cacheField>
    <cacheField name="SALDO TG ATUALIZADO" numFmtId="4">
      <sharedItems containsString="0" containsBlank="1" containsNumber="1">
        <n v="0.0"/>
        <n v="34265.50267068466"/>
        <n v="4956.347329315336"/>
        <n v="17658.16"/>
        <n v="467.36"/>
        <n v="1007981.13"/>
        <n v="20107.03"/>
        <n v="2247.32"/>
        <n v="290.26"/>
        <n v="11048.64"/>
        <n v="12032.07"/>
        <n v="208.34"/>
        <n v="1450.0"/>
        <n v="64115.65"/>
        <m/>
        <n v="92304.46"/>
        <n v="123167.52"/>
        <n v="1796.52"/>
        <n v="18961.96"/>
        <n v="7057.53"/>
        <n v="75230.64410399999"/>
        <n v="25713.456384"/>
        <n v="1951.467672"/>
        <n v="553.0897679999999"/>
        <n v="469.60452"/>
        <n v="438.29755199999994"/>
        <n v="351.4"/>
        <n v="146289.24"/>
        <n v="8276.591368"/>
        <n v="2486.5211459999996"/>
        <n v="330.7486559999999"/>
        <n v="275.62388"/>
        <n v="37.406098"/>
        <n v="140160.23"/>
        <n v="12600.0"/>
        <n v="600.77"/>
        <n v="216529.02"/>
        <n v="2088333.56"/>
        <n v="1516940.26"/>
        <n v="445078.5"/>
        <n v="164.42544506517692"/>
        <n v="45.40455493482309"/>
        <n v="1008.22"/>
        <n v="113283.94"/>
        <n v="9610.0"/>
        <n v="2.646"/>
        <n v="1.134"/>
        <n v="792141.84"/>
        <n v="6224762.742515999"/>
      </sharedItems>
    </cacheField>
    <cacheField name="ANULAR (R$)" numFmtId="0">
      <sharedItems containsString="0" containsBlank="1" containsNumber="1" containsInteger="1">
        <m/>
        <n v="0.0"/>
      </sharedItems>
    </cacheField>
    <cacheField name="MESES A EMPENHAR" numFmtId="0">
      <sharedItems containsString="0" containsBlank="1" containsNumber="1" containsInteger="1">
        <m/>
        <n v="0.0"/>
      </sharedItems>
    </cacheField>
    <cacheField name="EMPENHAR (R$)" numFmtId="4">
      <sharedItems containsString="0" containsBlank="1" containsNumber="1" containsInteger="1">
        <n v="0.0"/>
        <m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 3" cacheId="0" dataCaption="" compact="0" compactData="0">
  <location ref="A1:I4" firstHeaderRow="0" firstDataRow="8" firstDataCol="0"/>
  <pivotFields>
    <pivotField name="ANO CONTRATO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Nº CONTRATO" compact="0" numFmtId="49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name="Nº PROCESSO CONTRATAÇÃO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name="Nº PROCESSO EMPENHO" axis="axisRow" compact="0" outline="0" multipleItemSelectionAllowed="1" showAll="0" sortType="ascending" defaultSubtotal="0">
      <items>
        <item h="1" x="8"/>
        <item h="1" x="1"/>
        <item h="1" x="3"/>
        <item h="1" x="0"/>
        <item x="2"/>
        <item h="1" x="4"/>
        <item h="1" x="6"/>
        <item h="1" x="7"/>
        <item h="1" x="5"/>
      </items>
    </pivotField>
    <pivotField name="FORNECEDOR" compact="0" numFmtId="49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name="TIPO" compact="0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TIPO DE DESPESA" compact="0" numFmtId="49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name="CNPJ/CPF FORNEC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ame="DT VIGÊNCIA CONTRATO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ame="HOJE" compact="0" numFmtId="14" outline="0" multipleItemSelectionAllowed="1" showAll="0">
      <items>
        <item x="0"/>
        <item x="1"/>
        <item t="default"/>
      </items>
    </pivotField>
    <pivotField name="STATUS" compact="0" numFmtId="14" outline="0" multipleItemSelectionAllowed="1" showAll="0">
      <items>
        <item x="0"/>
        <item x="1"/>
        <item x="2"/>
        <item t="default"/>
      </items>
    </pivotField>
    <pivotField name="..." axis="axisRow" compact="0" numFmtId="49" outline="0" multipleItemSelectionAllowed="1" showAll="0" sortType="ascending" defaultSubtotal="0">
      <items>
        <item x="11"/>
        <item x="3"/>
        <item x="10"/>
        <item x="6"/>
        <item x="7"/>
        <item x="5"/>
        <item x="2"/>
        <item x="0"/>
        <item x="1"/>
        <item x="8"/>
        <item x="4"/>
        <item x="9"/>
      </items>
    </pivotField>
    <pivotField name="AÇÃO" axis="axisRow" compact="0" outline="0" multipleItemSelectionAllowed="1" showAll="0" sortType="ascending" defaultSubtotal="0">
      <items>
        <item x="2"/>
        <item x="0"/>
        <item x="1"/>
      </items>
    </pivotField>
    <pivotField name="PTRES" axis="axisRow" compact="0" outline="0" multipleItemSelectionAllowed="1" showAll="0" sortType="ascending" defaultSubtotal="0">
      <items>
        <item x="3"/>
        <item x="1"/>
        <item x="0"/>
        <item x="2"/>
      </items>
    </pivotField>
    <pivotField name="FONTE" axis="axisRow" compact="0" numFmtId="165" outline="0" multipleItemSelectionAllowed="1" showAll="0" sortType="ascending" defaultSubtotal="0">
      <items>
        <item x="1"/>
        <item x="0"/>
      </items>
    </pivotField>
    <pivotField name="ND" axis="axisRow" compact="0" outline="0" multipleItemSelectionAllowed="1" showAll="0" sortType="ascending" defaultSubtotal="0">
      <items>
        <item x="7"/>
        <item x="6"/>
        <item x="3"/>
        <item x="5"/>
        <item x="4"/>
        <item x="1"/>
        <item x="0"/>
        <item x="2"/>
      </items>
    </pivotField>
    <pivotField name="UGR" axis="axisRow" compact="0" outline="0" multipleItemSelectionAllowed="1" showAll="0" sortType="ascending" defaultSubtotal="0">
      <items>
        <item x="11"/>
        <item x="3"/>
        <item x="4"/>
        <item x="2"/>
        <item x="7"/>
        <item x="5"/>
        <item x="0"/>
        <item x="8"/>
        <item x="10"/>
        <item x="1"/>
        <item x="6"/>
        <item x="9"/>
      </items>
    </pivotField>
    <pivotField name="PI" axis="axisRow" compact="0" outline="0" multipleItemSelectionAllowed="1" showAll="0" sortType="ascending">
      <items>
        <item x="9"/>
        <item x="3"/>
        <item x="5"/>
        <item x="1"/>
        <item x="4"/>
        <item x="7"/>
        <item x="0"/>
        <item x="6"/>
        <item x="8"/>
        <item x="2"/>
        <item t="default"/>
      </items>
    </pivotField>
    <pivotField name="VÁRIOS ITENS LIC." compact="0" outline="0" multipleItemSelectionAllowed="1" showAll="0">
      <items>
        <item x="0"/>
        <item x="1"/>
        <item x="2"/>
        <item t="default"/>
      </items>
    </pivotField>
    <pivotField name="OBSERVAÇÃO" compact="0" outline="0" multipleItemSelectionAllowed="1" showAll="0">
      <items>
        <item x="0"/>
        <item t="default"/>
      </items>
    </pivotField>
    <pivotField name="EMPENHO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name="NECESSIDADE DE EMPENHO" compact="0" numFmtId="166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ame="MESES DE SALDO" compact="0" numFmtId="166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name="MÊS ATUAL" compact="0" numFmtId="166" outline="0" multipleItemSelectionAllowed="1" showAll="0">
      <items>
        <item x="0"/>
        <item x="1"/>
        <item x="2"/>
        <item t="default"/>
      </items>
    </pivotField>
    <pivotField name="MESES EMPENHADOS" compact="0" numFmtId="166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name="MESES LIQUIDADOS" compact="0" numFmtId="166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t="default"/>
      </items>
    </pivotField>
    <pivotField name="ITEM LIC." compact="0" outline="0" multipleItemSelectionAllowed="1" showAll="0">
      <items>
        <item x="0"/>
        <item x="1"/>
        <item x="2"/>
        <item x="3"/>
        <item x="4"/>
        <item x="5"/>
        <item x="6"/>
        <item t="default"/>
      </items>
    </pivotField>
    <pivotField name="%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name="DESPESA MENSAL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t="default"/>
      </items>
    </pivotField>
    <pivotField name="DESPESA ANUAL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name="VALOR EMPENHADO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t="default"/>
      </items>
    </pivotField>
    <pivotField name="SALDO TG ATUALIZADO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name="ANULAR (R$)" compact="0" outline="0" multipleItemSelectionAllowed="1" showAll="0">
      <items>
        <item x="0"/>
        <item x="1"/>
        <item t="default"/>
      </items>
    </pivotField>
    <pivotField name="MESES A EMPENHAR" compact="0" outline="0" multipleItemSelectionAllowed="1" showAll="0">
      <items>
        <item x="0"/>
        <item x="1"/>
        <item t="default"/>
      </items>
    </pivotField>
    <pivotField name="EMPENHAR (R$)" dataField="1" compact="0" numFmtId="4" outline="0" multipleItemSelectionAllowed="1" showAll="0">
      <items>
        <item x="0"/>
        <item x="1"/>
        <item t="default"/>
      </items>
    </pivotField>
  </pivotFields>
  <rowFields>
    <field x="3"/>
    <field x="11"/>
    <field x="12"/>
    <field x="13"/>
    <field x="14"/>
    <field x="15"/>
    <field x="16"/>
    <field x="17"/>
  </rowFields>
  <dataFields>
    <dataField name="SUM of EMPENHAR (R$)" fld="34" baseField="0"/>
  </dataFields>
</pivotTableDefinition>
</file>

<file path=xl/tables/table1.xml><?xml version="1.0" encoding="utf-8"?>
<table xmlns="http://schemas.openxmlformats.org/spreadsheetml/2006/main" ref="A1:I36" displayName="tbConferencia" name="tbConferencia" id="1">
  <tableColumns count="9">
    <tableColumn name="EMPENHO" id="1"/>
    <tableColumn name="CONTRATO" id="2"/>
    <tableColumn name="FORNECEDOR" id="3"/>
    <tableColumn name="ITENS" id="4"/>
    <tableColumn name="SOMA %" id="5"/>
    <tableColumn name="SALDO TG" id="6"/>
    <tableColumn name="SALDO RATEADO" id="7"/>
    <tableColumn name="DIFERENÇA" id="8"/>
    <tableColumn name="STATUS" id="9"/>
  </tableColumns>
  <tableStyleInfo name="CONFERÊNCI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  <pageSetUpPr/>
  </sheetPr>
  <sheetViews>
    <sheetView showGridLines="0" workbookViewId="0"/>
  </sheetViews>
  <sheetFormatPr customHeight="1" defaultColWidth="14.43" defaultRowHeight="15.0"/>
  <cols>
    <col customWidth="1" min="1" max="1" width="22.86"/>
    <col customWidth="1" min="9" max="9" width="23.14"/>
  </cols>
  <sheetData>
    <row r="1"/>
    <row r="2"/>
    <row r="3"/>
    <row r="4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5905511811023623" footer="0.0" header="0.0" left="0.5905511811023623" right="0.5905511811023623" top="0.5905511811023623"/>
  <pageSetup paperSize="9" scale="90"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xSplit="5.0" ySplit="1.0" topLeftCell="F2" activePane="bottomRight" state="frozen"/>
      <selection activeCell="F1" sqref="F1" pane="topRight"/>
      <selection activeCell="A2" sqref="A2" pane="bottomLeft"/>
      <selection activeCell="F2" sqref="F2" pane="bottomRight"/>
    </sheetView>
  </sheetViews>
  <sheetFormatPr customHeight="1" defaultColWidth="14.43" defaultRowHeight="15.0"/>
  <cols>
    <col customWidth="1" min="1" max="1" width="10.0"/>
    <col customWidth="1" min="2" max="2" width="13.86"/>
    <col customWidth="1" min="3" max="3" width="16.0"/>
    <col customWidth="1" min="4" max="4" width="15.0"/>
    <col customWidth="1" min="5" max="5" width="46.43"/>
    <col customWidth="1" min="6" max="6" width="15.86"/>
    <col customWidth="1" min="7" max="7" width="22.57"/>
    <col customWidth="1" min="8" max="8" width="16.29"/>
    <col customWidth="1" min="9" max="9" width="15.43"/>
    <col customWidth="1" min="10" max="10" width="11.14"/>
    <col customWidth="1" min="11" max="11" width="11.29"/>
    <col customWidth="1" min="12" max="12" width="11.43"/>
    <col customWidth="1" min="13" max="13" width="8.86"/>
    <col customWidth="1" min="14" max="14" width="14.14"/>
    <col customWidth="1" min="15" max="15" width="10.14"/>
    <col customWidth="1" min="16" max="16" width="7.86"/>
    <col customWidth="1" min="17" max="17" width="8.14"/>
    <col customWidth="1" min="18" max="18" width="13.43"/>
    <col customWidth="1" min="19" max="19" width="13.86"/>
    <col customWidth="1" min="20" max="20" width="15.86"/>
    <col customWidth="1" min="21" max="21" width="13.86"/>
    <col customWidth="1" hidden="1" min="22" max="22" width="15.29"/>
    <col customWidth="1" hidden="1" min="23" max="23" width="13.86"/>
    <col customWidth="1" hidden="1" min="24" max="25" width="16.14"/>
    <col customWidth="1" hidden="1" min="26" max="26" width="15.14"/>
    <col customWidth="1" hidden="1" min="27" max="27" width="10.29"/>
    <col customWidth="1" hidden="1" min="28" max="28" width="15.14"/>
    <col customWidth="1" min="29" max="29" width="12.57"/>
    <col customWidth="1" min="30" max="30" width="15.0"/>
    <col customWidth="1" min="31" max="31" width="14.86"/>
    <col customWidth="1" min="32" max="32" width="15.29"/>
    <col customWidth="1" min="33" max="33" width="10.57"/>
    <col customWidth="1" min="34" max="34" width="14.0"/>
    <col customWidth="1" min="35" max="35" width="14.86"/>
    <col customWidth="1" min="36" max="37" width="18.0"/>
    <col customWidth="1" min="38" max="38" width="22.0"/>
  </cols>
  <sheetData>
    <row r="1" ht="50.25" customHeight="1">
      <c r="A1" s="1" t="s">
        <v>1</v>
      </c>
      <c r="B1" s="3" t="s">
        <v>3</v>
      </c>
      <c r="C1" s="5" t="s">
        <v>5</v>
      </c>
      <c r="D1" s="5" t="s">
        <v>10</v>
      </c>
      <c r="E1" s="5" t="s">
        <v>11</v>
      </c>
      <c r="F1" s="7" t="s">
        <v>13</v>
      </c>
      <c r="G1" s="5" t="s">
        <v>14</v>
      </c>
      <c r="H1" s="5" t="s">
        <v>17</v>
      </c>
      <c r="I1" s="8" t="s">
        <v>18</v>
      </c>
      <c r="J1" s="10" t="s">
        <v>20</v>
      </c>
      <c r="K1" s="11" t="s">
        <v>23</v>
      </c>
      <c r="L1" s="5" t="s">
        <v>25</v>
      </c>
      <c r="M1" s="7" t="s">
        <v>32</v>
      </c>
      <c r="N1" s="7" t="s">
        <v>8</v>
      </c>
      <c r="O1" s="15" t="s">
        <v>36</v>
      </c>
      <c r="P1" s="7" t="s">
        <v>40</v>
      </c>
      <c r="Q1" s="7" t="s">
        <v>41</v>
      </c>
      <c r="R1" s="7" t="s">
        <v>21</v>
      </c>
      <c r="S1" s="7" t="s">
        <v>45</v>
      </c>
      <c r="T1" s="7" t="s">
        <v>48</v>
      </c>
      <c r="U1" s="7" t="s">
        <v>51</v>
      </c>
      <c r="V1" s="7" t="s">
        <v>54</v>
      </c>
      <c r="W1" s="7" t="s">
        <v>56</v>
      </c>
      <c r="X1" s="7" t="s">
        <v>58</v>
      </c>
      <c r="Y1" s="7" t="s">
        <v>60</v>
      </c>
      <c r="Z1" s="7" t="s">
        <v>61</v>
      </c>
      <c r="AA1" s="18" t="s">
        <v>64</v>
      </c>
      <c r="AB1" s="20" t="s">
        <v>68</v>
      </c>
      <c r="AC1" s="22" t="s">
        <v>72</v>
      </c>
      <c r="AD1" s="22" t="s">
        <v>75</v>
      </c>
      <c r="AE1" s="22" t="s">
        <v>76</v>
      </c>
      <c r="AF1" s="22" t="s">
        <v>79</v>
      </c>
      <c r="AG1" s="18" t="s">
        <v>81</v>
      </c>
      <c r="AH1" s="18" t="s">
        <v>83</v>
      </c>
      <c r="AI1" s="22" t="s">
        <v>85</v>
      </c>
      <c r="AJ1" s="29" t="s">
        <v>87</v>
      </c>
      <c r="AK1" s="29" t="s">
        <v>89</v>
      </c>
      <c r="AL1" s="29" t="s">
        <v>92</v>
      </c>
    </row>
    <row r="2" ht="19.5" customHeight="1">
      <c r="A2" s="32">
        <v>2025.0</v>
      </c>
      <c r="B2" s="34" t="s">
        <v>95</v>
      </c>
      <c r="C2" s="35" t="s">
        <v>97</v>
      </c>
      <c r="D2" s="37" t="s">
        <v>98</v>
      </c>
      <c r="E2" s="38" t="s">
        <v>100</v>
      </c>
      <c r="F2" s="40" t="s">
        <v>101</v>
      </c>
      <c r="G2" s="41" t="s">
        <v>103</v>
      </c>
      <c r="H2" s="43" t="s">
        <v>104</v>
      </c>
      <c r="I2" s="44">
        <v>46359.0</v>
      </c>
      <c r="J2" s="44">
        <f t="shared" ref="J2:J60" si="2">TODAY()</f>
        <v>46245</v>
      </c>
      <c r="K2" s="44" t="str">
        <f t="shared" ref="K2:K60" si="3">IF(I2&lt;J2,"VENCIDO","ATIVO")</f>
        <v>ATIVO</v>
      </c>
      <c r="L2" s="46" t="s">
        <v>109</v>
      </c>
      <c r="M2" s="37" t="s">
        <v>69</v>
      </c>
      <c r="N2" s="37">
        <v>230390.0</v>
      </c>
      <c r="O2" s="47">
        <v>1000.0</v>
      </c>
      <c r="P2" s="37">
        <v>339040.0</v>
      </c>
      <c r="Q2" s="37">
        <v>157842.0</v>
      </c>
      <c r="R2" s="37" t="s">
        <v>82</v>
      </c>
      <c r="S2" s="40" t="s">
        <v>111</v>
      </c>
      <c r="T2" s="40"/>
      <c r="U2" s="40" t="s">
        <v>113</v>
      </c>
      <c r="V2" s="48">
        <f t="shared" ref="V2:W2" si="1">X2-Y2</f>
        <v>1</v>
      </c>
      <c r="W2" s="48">
        <f t="shared" si="1"/>
        <v>0</v>
      </c>
      <c r="X2" s="48">
        <v>7.0</v>
      </c>
      <c r="Y2" s="48">
        <f t="shared" ref="Y2:Y16" si="5">AE2/AC2</f>
        <v>6</v>
      </c>
      <c r="Z2" s="48">
        <f t="shared" ref="Z2:Z16" si="6">(AE2-AF2)/AC2</f>
        <v>6</v>
      </c>
      <c r="AA2" s="37">
        <v>3.0</v>
      </c>
      <c r="AB2" s="49">
        <v>0.5117645220760554</v>
      </c>
      <c r="AC2" s="50">
        <v>1310.24</v>
      </c>
      <c r="AD2" s="51">
        <f t="shared" ref="AD2:AD22" si="7">AC2*12</f>
        <v>15722.88</v>
      </c>
      <c r="AE2" s="51">
        <f>IF(COUNTIF(BASE_TG!$AC$2:$AC$1000,U2)=1,IF(AND(S2="SIM",ISNUMBER(AB2)),SUMIF(BASE_TG!$AC$2:$AC$1000,U2,BASE_TG!$AA$2:$AA$1000)*AB2,SUMIF(BASE_TG!$AC$2:$AC$1000,U2,BASE_TG!$AA$2:$AA$1000)),7861.44)</f>
        <v>7861.44</v>
      </c>
      <c r="AF2" s="51">
        <f t="shared" ref="AF2:AF60" si="8">IF(AL2="ATUALIZADO",IF(AND(S2="SIM",ISNUMBER(AB2)),AK2*AB2,AK2),AJ2)</f>
        <v>0</v>
      </c>
      <c r="AG2" s="52"/>
      <c r="AH2" s="53"/>
      <c r="AI2" s="51">
        <f t="shared" ref="AI2:AI16" si="9">AC2*AH2</f>
        <v>0</v>
      </c>
      <c r="AJ2" s="54"/>
      <c r="AK2" s="54">
        <f>IF(COUNTIF(BASE_TG!$AC$2:$AC$1000,U2)=1,SUMIF(BASE_TG!$AC$2:$AC$1000,U2,BASE_TG!$AB$2:$AB$1000),"")</f>
        <v>0</v>
      </c>
      <c r="AL2" s="55" t="str">
        <f>IF(OR(U2="",U2="-"),"SEM EMPENHO",IF(COUNTIF(BASE_TG!$AC$2:$AC$1000,U2)=0,"NÃO LOCALIZADO",IF(COUNTIF(BASE_TG!$AC$2:$AC$1000,U2)=1,"ATUALIZADO","DUPLICADO")))</f>
        <v>ATUALIZADO</v>
      </c>
    </row>
    <row r="3" ht="19.5" customHeight="1">
      <c r="A3" s="56">
        <v>2025.0</v>
      </c>
      <c r="B3" s="34" t="s">
        <v>95</v>
      </c>
      <c r="C3" s="35" t="s">
        <v>97</v>
      </c>
      <c r="D3" s="37" t="s">
        <v>98</v>
      </c>
      <c r="E3" s="38" t="s">
        <v>100</v>
      </c>
      <c r="F3" s="40" t="s">
        <v>101</v>
      </c>
      <c r="G3" s="41" t="s">
        <v>103</v>
      </c>
      <c r="H3" s="43" t="s">
        <v>104</v>
      </c>
      <c r="I3" s="44">
        <v>46359.0</v>
      </c>
      <c r="J3" s="44">
        <f t="shared" si="2"/>
        <v>46245</v>
      </c>
      <c r="K3" s="44" t="str">
        <f t="shared" si="3"/>
        <v>ATIVO</v>
      </c>
      <c r="L3" s="46" t="s">
        <v>109</v>
      </c>
      <c r="M3" s="37" t="s">
        <v>69</v>
      </c>
      <c r="N3" s="37">
        <v>230390.0</v>
      </c>
      <c r="O3" s="47">
        <v>1000.0</v>
      </c>
      <c r="P3" s="37">
        <v>339040.0</v>
      </c>
      <c r="Q3" s="37">
        <v>157842.0</v>
      </c>
      <c r="R3" s="37" t="s">
        <v>82</v>
      </c>
      <c r="S3" s="40" t="s">
        <v>111</v>
      </c>
      <c r="T3" s="40"/>
      <c r="U3" s="40" t="s">
        <v>113</v>
      </c>
      <c r="V3" s="48">
        <f t="shared" ref="V3:W3" si="4">X3-Y3</f>
        <v>1</v>
      </c>
      <c r="W3" s="48">
        <f t="shared" si="4"/>
        <v>0</v>
      </c>
      <c r="X3" s="48">
        <v>7.0</v>
      </c>
      <c r="Y3" s="48">
        <f t="shared" si="5"/>
        <v>6</v>
      </c>
      <c r="Z3" s="48">
        <f t="shared" si="6"/>
        <v>6</v>
      </c>
      <c r="AA3" s="37">
        <v>2.0</v>
      </c>
      <c r="AB3" s="49">
        <v>0.48823547792394467</v>
      </c>
      <c r="AC3" s="50">
        <v>1250.0</v>
      </c>
      <c r="AD3" s="51">
        <f t="shared" si="7"/>
        <v>15000</v>
      </c>
      <c r="AE3" s="51">
        <f>IF(COUNTIF(BASE_TG!$AC$2:$AC$1000,U3)=1,IF(AND(S3="SIM",ISNUMBER(AB3)),SUMIF(BASE_TG!$AC$2:$AC$1000,U3,BASE_TG!$AA$2:$AA$1000)*AB3,SUMIF(BASE_TG!$AC$2:$AC$1000,U3,BASE_TG!$AA$2:$AA$1000)),7500)</f>
        <v>7500</v>
      </c>
      <c r="AF3" s="51">
        <f t="shared" si="8"/>
        <v>0</v>
      </c>
      <c r="AG3" s="52"/>
      <c r="AH3" s="53"/>
      <c r="AI3" s="51">
        <f t="shared" si="9"/>
        <v>0</v>
      </c>
      <c r="AJ3" s="54"/>
      <c r="AK3" s="54">
        <f>IF(COUNTIF(BASE_TG!$AC$2:$AC$1000,U3)=1,SUMIF(BASE_TG!$AC$2:$AC$1000,U3,BASE_TG!$AB$2:$AB$1000),"")</f>
        <v>0</v>
      </c>
      <c r="AL3" s="55" t="str">
        <f>IF(OR(U3="",U3="-"),"SEM EMPENHO",IF(COUNTIF(BASE_TG!$AC$2:$AC$1000,U3)=0,"NÃO LOCALIZADO",IF(COUNTIF(BASE_TG!$AC$2:$AC$1000,U3)=1,"ATUALIZADO","DUPLICADO")))</f>
        <v>ATUALIZADO</v>
      </c>
    </row>
    <row r="4" ht="19.5" customHeight="1">
      <c r="A4" s="56" t="str">
        <f t="shared" ref="A4:A14" si="11">RIGHT(B4,4)</f>
        <v>2024</v>
      </c>
      <c r="B4" s="46" t="s">
        <v>139</v>
      </c>
      <c r="C4" s="37" t="s">
        <v>140</v>
      </c>
      <c r="D4" s="37" t="s">
        <v>98</v>
      </c>
      <c r="E4" s="38" t="s">
        <v>141</v>
      </c>
      <c r="F4" s="40" t="s">
        <v>101</v>
      </c>
      <c r="G4" s="40" t="s">
        <v>142</v>
      </c>
      <c r="H4" s="43">
        <v>1.186353000018E13</v>
      </c>
      <c r="I4" s="44">
        <v>46257.0</v>
      </c>
      <c r="J4" s="44">
        <f t="shared" si="2"/>
        <v>46245</v>
      </c>
      <c r="K4" s="44" t="str">
        <f t="shared" si="3"/>
        <v>ATIVO</v>
      </c>
      <c r="L4" s="46" t="s">
        <v>99</v>
      </c>
      <c r="M4" s="37" t="s">
        <v>69</v>
      </c>
      <c r="N4" s="37">
        <v>230390.0</v>
      </c>
      <c r="O4" s="47">
        <v>1000.0</v>
      </c>
      <c r="P4" s="37">
        <v>339039.0</v>
      </c>
      <c r="Q4" s="40">
        <v>157909.0</v>
      </c>
      <c r="R4" s="37" t="s">
        <v>102</v>
      </c>
      <c r="S4" s="40" t="s">
        <v>111</v>
      </c>
      <c r="T4" s="40"/>
      <c r="U4" s="40" t="s">
        <v>148</v>
      </c>
      <c r="V4" s="48">
        <f t="shared" ref="V4:W4" si="10">X4-Y4</f>
        <v>1</v>
      </c>
      <c r="W4" s="48">
        <f t="shared" si="10"/>
        <v>1.936035362</v>
      </c>
      <c r="X4" s="48">
        <v>7.0</v>
      </c>
      <c r="Y4" s="48">
        <f t="shared" si="5"/>
        <v>6</v>
      </c>
      <c r="Z4" s="48">
        <f t="shared" si="6"/>
        <v>4.063964638</v>
      </c>
      <c r="AA4" s="37">
        <v>2.0</v>
      </c>
      <c r="AB4" s="49">
        <v>0.873633004834924</v>
      </c>
      <c r="AC4" s="50">
        <f>316.05*56</f>
        <v>17698.8</v>
      </c>
      <c r="AD4" s="51">
        <f t="shared" si="7"/>
        <v>212385.6</v>
      </c>
      <c r="AE4" s="51">
        <f>IF(COUNTIF(BASE_TG!$AC$2:$AC$1000,U4)=1,IF(AND(S4="SIM",ISNUMBER(AB4)),SUMIF(BASE_TG!$AC$2:$AC$1000,U4,BASE_TG!$AA$2:$AA$1000)*AB4,SUMIF(BASE_TG!$AC$2:$AC$1000,U4,BASE_TG!$AA$2:$AA$1000)),106192.8)</f>
        <v>106192.8</v>
      </c>
      <c r="AF4" s="51">
        <f t="shared" si="8"/>
        <v>34265.50267</v>
      </c>
      <c r="AG4" s="58"/>
      <c r="AH4" s="53"/>
      <c r="AI4" s="51">
        <f t="shared" si="9"/>
        <v>0</v>
      </c>
      <c r="AJ4" s="54"/>
      <c r="AK4" s="54">
        <f>IF(COUNTIF(BASE_TG!$AC$2:$AC$1000,U4)=1,SUMIF(BASE_TG!$AC$2:$AC$1000,U4,BASE_TG!$AB$2:$AB$1000),"")</f>
        <v>39221.85</v>
      </c>
      <c r="AL4" s="55" t="str">
        <f>IF(OR(U4="",U4="-"),"SEM EMPENHO",IF(COUNTIF(BASE_TG!$AC$2:$AC$1000,U4)=0,"NÃO LOCALIZADO",IF(COUNTIF(BASE_TG!$AC$2:$AC$1000,U4)=1,"ATUALIZADO","DUPLICADO")))</f>
        <v>ATUALIZADO</v>
      </c>
    </row>
    <row r="5" ht="19.5" customHeight="1">
      <c r="A5" s="56" t="str">
        <f t="shared" si="11"/>
        <v>2024</v>
      </c>
      <c r="B5" s="46" t="s">
        <v>139</v>
      </c>
      <c r="C5" s="37" t="s">
        <v>140</v>
      </c>
      <c r="D5" s="37" t="s">
        <v>98</v>
      </c>
      <c r="E5" s="38" t="s">
        <v>141</v>
      </c>
      <c r="F5" s="40" t="s">
        <v>101</v>
      </c>
      <c r="G5" s="40" t="s">
        <v>142</v>
      </c>
      <c r="H5" s="43">
        <v>1.186353000018E13</v>
      </c>
      <c r="I5" s="44">
        <v>46257.0</v>
      </c>
      <c r="J5" s="44">
        <f t="shared" si="2"/>
        <v>46245</v>
      </c>
      <c r="K5" s="44" t="str">
        <f t="shared" si="3"/>
        <v>ATIVO</v>
      </c>
      <c r="L5" s="46" t="s">
        <v>99</v>
      </c>
      <c r="M5" s="37" t="s">
        <v>69</v>
      </c>
      <c r="N5" s="37">
        <v>230390.0</v>
      </c>
      <c r="O5" s="47">
        <v>1000.0</v>
      </c>
      <c r="P5" s="37">
        <v>339039.0</v>
      </c>
      <c r="Q5" s="40">
        <v>157909.0</v>
      </c>
      <c r="R5" s="37" t="s">
        <v>102</v>
      </c>
      <c r="S5" s="40" t="s">
        <v>111</v>
      </c>
      <c r="T5" s="40"/>
      <c r="U5" s="40" t="s">
        <v>148</v>
      </c>
      <c r="V5" s="48">
        <f t="shared" ref="V5:W5" si="12">X5-Y5</f>
        <v>1</v>
      </c>
      <c r="W5" s="48">
        <f t="shared" si="12"/>
        <v>1.936035362</v>
      </c>
      <c r="X5" s="48">
        <v>7.0</v>
      </c>
      <c r="Y5" s="48">
        <f t="shared" si="5"/>
        <v>6</v>
      </c>
      <c r="Z5" s="48">
        <f t="shared" si="6"/>
        <v>4.063964638</v>
      </c>
      <c r="AA5" s="37">
        <v>1.0</v>
      </c>
      <c r="AB5" s="49">
        <v>0.126366995165076</v>
      </c>
      <c r="AC5" s="50">
        <f>284.45*9</f>
        <v>2560.05</v>
      </c>
      <c r="AD5" s="51">
        <f t="shared" si="7"/>
        <v>30720.6</v>
      </c>
      <c r="AE5" s="51">
        <f>IF(COUNTIF(BASE_TG!$AC$2:$AC$1000,U5)=1,IF(AND(S5="SIM",ISNUMBER(AB5)),SUMIF(BASE_TG!$AC$2:$AC$1000,U5,BASE_TG!$AA$2:$AA$1000)*AB5,SUMIF(BASE_TG!$AC$2:$AC$1000,U5,BASE_TG!$AA$2:$AA$1000)),15360.3)</f>
        <v>15360.3</v>
      </c>
      <c r="AF5" s="51">
        <f t="shared" si="8"/>
        <v>4956.347329</v>
      </c>
      <c r="AG5" s="58"/>
      <c r="AH5" s="53"/>
      <c r="AI5" s="51">
        <f t="shared" si="9"/>
        <v>0</v>
      </c>
      <c r="AJ5" s="54"/>
      <c r="AK5" s="54">
        <f>IF(COUNTIF(BASE_TG!$AC$2:$AC$1000,U5)=1,SUMIF(BASE_TG!$AC$2:$AC$1000,U5,BASE_TG!$AB$2:$AB$1000),"")</f>
        <v>39221.85</v>
      </c>
      <c r="AL5" s="55" t="str">
        <f>IF(OR(U5="",U5="-"),"SEM EMPENHO",IF(COUNTIF(BASE_TG!$AC$2:$AC$1000,U5)=0,"NÃO LOCALIZADO",IF(COUNTIF(BASE_TG!$AC$2:$AC$1000,U5)=1,"ATUALIZADO","DUPLICADO")))</f>
        <v>ATUALIZADO</v>
      </c>
    </row>
    <row r="6" ht="19.5" customHeight="1">
      <c r="A6" s="56" t="str">
        <f t="shared" si="11"/>
        <v>2023</v>
      </c>
      <c r="B6" s="46" t="s">
        <v>174</v>
      </c>
      <c r="C6" s="35" t="s">
        <v>175</v>
      </c>
      <c r="D6" s="37" t="s">
        <v>98</v>
      </c>
      <c r="E6" s="62" t="s">
        <v>176</v>
      </c>
      <c r="F6" s="40" t="s">
        <v>101</v>
      </c>
      <c r="G6" s="63" t="s">
        <v>177</v>
      </c>
      <c r="H6" s="43" t="s">
        <v>179</v>
      </c>
      <c r="I6" s="44">
        <v>46298.0</v>
      </c>
      <c r="J6" s="44">
        <f t="shared" si="2"/>
        <v>46245</v>
      </c>
      <c r="K6" s="44" t="str">
        <f t="shared" si="3"/>
        <v>ATIVO</v>
      </c>
      <c r="L6" s="37" t="s">
        <v>180</v>
      </c>
      <c r="M6" s="37" t="s">
        <v>69</v>
      </c>
      <c r="N6" s="37">
        <v>230390.0</v>
      </c>
      <c r="O6" s="47">
        <v>1000.0</v>
      </c>
      <c r="P6" s="37">
        <v>339039.0</v>
      </c>
      <c r="Q6" s="37">
        <v>157658.0</v>
      </c>
      <c r="R6" s="37" t="s">
        <v>122</v>
      </c>
      <c r="S6" s="40" t="s">
        <v>181</v>
      </c>
      <c r="T6" s="40"/>
      <c r="U6" s="40" t="s">
        <v>182</v>
      </c>
      <c r="V6" s="48">
        <f t="shared" ref="V6:W6" si="13">X6-Y6</f>
        <v>1</v>
      </c>
      <c r="W6" s="48">
        <f t="shared" si="13"/>
        <v>2.519477332</v>
      </c>
      <c r="X6" s="48">
        <v>7.0</v>
      </c>
      <c r="Y6" s="48">
        <f t="shared" si="5"/>
        <v>6</v>
      </c>
      <c r="Z6" s="48">
        <f t="shared" si="6"/>
        <v>3.480522668</v>
      </c>
      <c r="AA6" s="37">
        <v>1.0</v>
      </c>
      <c r="AB6" s="64" t="s">
        <v>187</v>
      </c>
      <c r="AC6" s="65">
        <v>7008.66</v>
      </c>
      <c r="AD6" s="51">
        <f t="shared" si="7"/>
        <v>84103.92</v>
      </c>
      <c r="AE6" s="51">
        <f>IF(COUNTIF(BASE_TG!$AC$2:$AC$1000,U6)=1,IF(AND(S6="SIM",ISNUMBER(AB6)),SUMIF(BASE_TG!$AC$2:$AC$1000,U6,BASE_TG!$AA$2:$AA$1000)*AB6,SUMIF(BASE_TG!$AC$2:$AC$1000,U6,BASE_TG!$AA$2:$AA$1000)),42051.96)</f>
        <v>42051.96</v>
      </c>
      <c r="AF6" s="66">
        <f t="shared" si="8"/>
        <v>17658.16</v>
      </c>
      <c r="AG6" s="52"/>
      <c r="AH6" s="53"/>
      <c r="AI6" s="51">
        <f t="shared" si="9"/>
        <v>0</v>
      </c>
      <c r="AJ6" s="54"/>
      <c r="AK6" s="54">
        <f>IF(COUNTIF(BASE_TG!$AC$2:$AC$1000,U6)=1,SUMIF(BASE_TG!$AC$2:$AC$1000,U6,BASE_TG!$AB$2:$AB$1000),"")</f>
        <v>17658.16</v>
      </c>
      <c r="AL6" s="55" t="str">
        <f>IF(OR(U6="",U6="-"),"SEM EMPENHO",IF(COUNTIF(BASE_TG!$AC$2:$AC$1000,U6)=0,"NÃO LOCALIZADO",IF(COUNTIF(BASE_TG!$AC$2:$AC$1000,U6)=1,"ATUALIZADO","DUPLICADO")))</f>
        <v>ATUALIZADO</v>
      </c>
    </row>
    <row r="7" ht="19.5" customHeight="1">
      <c r="A7" s="56" t="str">
        <f t="shared" si="11"/>
        <v>2022</v>
      </c>
      <c r="B7" s="46" t="s">
        <v>196</v>
      </c>
      <c r="C7" s="35" t="s">
        <v>197</v>
      </c>
      <c r="D7" s="37" t="s">
        <v>98</v>
      </c>
      <c r="E7" s="38" t="s">
        <v>198</v>
      </c>
      <c r="F7" s="40" t="s">
        <v>101</v>
      </c>
      <c r="G7" s="41" t="s">
        <v>199</v>
      </c>
      <c r="H7" s="43" t="s">
        <v>200</v>
      </c>
      <c r="I7" s="67">
        <v>46190.0</v>
      </c>
      <c r="J7" s="67">
        <f t="shared" si="2"/>
        <v>46245</v>
      </c>
      <c r="K7" s="44" t="str">
        <f t="shared" si="3"/>
        <v>VENCIDO</v>
      </c>
      <c r="L7" s="46" t="s">
        <v>99</v>
      </c>
      <c r="M7" s="37" t="s">
        <v>69</v>
      </c>
      <c r="N7" s="37">
        <v>230390.0</v>
      </c>
      <c r="O7" s="47">
        <v>1000.0</v>
      </c>
      <c r="P7" s="37">
        <v>339039.0</v>
      </c>
      <c r="Q7" s="40">
        <v>157909.0</v>
      </c>
      <c r="R7" s="37" t="s">
        <v>102</v>
      </c>
      <c r="S7" s="40" t="s">
        <v>181</v>
      </c>
      <c r="T7" s="40"/>
      <c r="U7" s="40" t="s">
        <v>202</v>
      </c>
      <c r="V7" s="48">
        <f t="shared" ref="V7:W7" si="14">X7-Y7</f>
        <v>1</v>
      </c>
      <c r="W7" s="48">
        <f t="shared" si="14"/>
        <v>0.2207276986</v>
      </c>
      <c r="X7" s="48">
        <v>7.0</v>
      </c>
      <c r="Y7" s="48">
        <f t="shared" si="5"/>
        <v>6</v>
      </c>
      <c r="Z7" s="48">
        <f t="shared" si="6"/>
        <v>5.779272301</v>
      </c>
      <c r="AA7" s="37">
        <v>1.0</v>
      </c>
      <c r="AB7" s="68" t="s">
        <v>187</v>
      </c>
      <c r="AC7" s="50">
        <f>55.72*38</f>
        <v>2117.36</v>
      </c>
      <c r="AD7" s="51">
        <f t="shared" si="7"/>
        <v>25408.32</v>
      </c>
      <c r="AE7" s="51">
        <f>IF(COUNTIF(BASE_TG!$AC$2:$AC$1000,U7)=1,IF(AND(S7="SIM",ISNUMBER(AB7)),SUMIF(BASE_TG!$AC$2:$AC$1000,U7,BASE_TG!$AA$2:$AA$1000)*AB7,SUMIF(BASE_TG!$AC$2:$AC$1000,U7,BASE_TG!$AA$2:$AA$1000)),12704.16)</f>
        <v>12704.16</v>
      </c>
      <c r="AF7" s="51">
        <f t="shared" si="8"/>
        <v>467.36</v>
      </c>
      <c r="AG7" s="52"/>
      <c r="AH7" s="53"/>
      <c r="AI7" s="51">
        <f t="shared" si="9"/>
        <v>0</v>
      </c>
      <c r="AJ7" s="54"/>
      <c r="AK7" s="54">
        <f>IF(COUNTIF(BASE_TG!$AC$2:$AC$1000,U7)=1,SUMIF(BASE_TG!$AC$2:$AC$1000,U7,BASE_TG!$AB$2:$AB$1000),"")</f>
        <v>467.36</v>
      </c>
      <c r="AL7" s="55" t="str">
        <f>IF(OR(U7="",U7="-"),"SEM EMPENHO",IF(COUNTIF(BASE_TG!$AC$2:$AC$1000,U7)=0,"NÃO LOCALIZADO",IF(COUNTIF(BASE_TG!$AC$2:$AC$1000,U7)=1,"ATUALIZADO","DUPLICADO")))</f>
        <v>ATUALIZADO</v>
      </c>
    </row>
    <row r="8" ht="19.5" customHeight="1">
      <c r="A8" s="56" t="str">
        <f t="shared" si="11"/>
        <v>2026</v>
      </c>
      <c r="B8" s="46" t="s">
        <v>213</v>
      </c>
      <c r="C8" s="35" t="s">
        <v>220</v>
      </c>
      <c r="D8" s="35" t="s">
        <v>220</v>
      </c>
      <c r="E8" s="69" t="s">
        <v>215</v>
      </c>
      <c r="F8" s="40" t="s">
        <v>101</v>
      </c>
      <c r="G8" s="63" t="s">
        <v>224</v>
      </c>
      <c r="H8" s="43" t="s">
        <v>225</v>
      </c>
      <c r="I8" s="44" t="s">
        <v>187</v>
      </c>
      <c r="J8" s="44">
        <f t="shared" si="2"/>
        <v>46245</v>
      </c>
      <c r="K8" s="44" t="str">
        <f t="shared" si="3"/>
        <v>ATIVO</v>
      </c>
      <c r="L8" s="46" t="s">
        <v>99</v>
      </c>
      <c r="M8" s="37" t="s">
        <v>69</v>
      </c>
      <c r="N8" s="37">
        <v>230390.0</v>
      </c>
      <c r="O8" s="47">
        <v>1000.0</v>
      </c>
      <c r="P8" s="40">
        <v>339039.0</v>
      </c>
      <c r="Q8" s="37">
        <v>157909.0</v>
      </c>
      <c r="R8" s="37" t="s">
        <v>102</v>
      </c>
      <c r="S8" s="40" t="s">
        <v>181</v>
      </c>
      <c r="T8" s="40"/>
      <c r="U8" s="40" t="s">
        <v>212</v>
      </c>
      <c r="V8" s="48">
        <f t="shared" ref="V8:W8" si="15">X8-Y8</f>
        <v>1</v>
      </c>
      <c r="W8" s="48">
        <f t="shared" si="15"/>
        <v>1.34397484</v>
      </c>
      <c r="X8" s="48">
        <v>7.0</v>
      </c>
      <c r="Y8" s="48">
        <f t="shared" si="5"/>
        <v>6</v>
      </c>
      <c r="Z8" s="48">
        <f t="shared" si="6"/>
        <v>4.65602516</v>
      </c>
      <c r="AA8" s="37">
        <v>1.0</v>
      </c>
      <c r="AB8" s="70" t="s">
        <v>187</v>
      </c>
      <c r="AC8" s="51">
        <v>750000.0</v>
      </c>
      <c r="AD8" s="51">
        <f t="shared" si="7"/>
        <v>9000000</v>
      </c>
      <c r="AE8" s="51">
        <f>IF(COUNTIF(BASE_TG!$AC$2:$AC$1000,U8)=1,IF(AND(S8="SIM",ISNUMBER(AB8)),SUMIF(BASE_TG!$AC$2:$AC$1000,U8,BASE_TG!$AA$2:$AA$1000)*AB8,SUMIF(BASE_TG!$AC$2:$AC$1000,U8,BASE_TG!$AA$2:$AA$1000)),4500000)</f>
        <v>4500000</v>
      </c>
      <c r="AF8" s="51">
        <f t="shared" si="8"/>
        <v>1007981.13</v>
      </c>
      <c r="AG8" s="52"/>
      <c r="AH8" s="53"/>
      <c r="AI8" s="51">
        <f t="shared" si="9"/>
        <v>0</v>
      </c>
      <c r="AJ8" s="54"/>
      <c r="AK8" s="54">
        <f>IF(COUNTIF(BASE_TG!$AC$2:$AC$1000,U8)=1,SUMIF(BASE_TG!$AC$2:$AC$1000,U8,BASE_TG!$AB$2:$AB$1000),"")</f>
        <v>1007981.13</v>
      </c>
      <c r="AL8" s="55" t="str">
        <f>IF(OR(U8="",U8="-"),"SEM EMPENHO",IF(COUNTIF(BASE_TG!$AC$2:$AC$1000,U8)=0,"NÃO LOCALIZADO",IF(COUNTIF(BASE_TG!$AC$2:$AC$1000,U8)=1,"ATUALIZADO","DUPLICADO")))</f>
        <v>ATUALIZADO</v>
      </c>
    </row>
    <row r="9" ht="19.5" customHeight="1">
      <c r="A9" s="56" t="str">
        <f t="shared" si="11"/>
        <v>2026</v>
      </c>
      <c r="B9" s="46" t="s">
        <v>213</v>
      </c>
      <c r="C9" s="35" t="s">
        <v>220</v>
      </c>
      <c r="D9" s="35" t="s">
        <v>220</v>
      </c>
      <c r="E9" s="71" t="s">
        <v>215</v>
      </c>
      <c r="F9" s="40" t="s">
        <v>101</v>
      </c>
      <c r="G9" s="63" t="s">
        <v>224</v>
      </c>
      <c r="H9" s="43" t="s">
        <v>225</v>
      </c>
      <c r="I9" s="44" t="s">
        <v>187</v>
      </c>
      <c r="J9" s="44">
        <f t="shared" si="2"/>
        <v>46245</v>
      </c>
      <c r="K9" s="44" t="str">
        <f t="shared" si="3"/>
        <v>ATIVO</v>
      </c>
      <c r="L9" s="46" t="s">
        <v>93</v>
      </c>
      <c r="M9" s="37" t="s">
        <v>94</v>
      </c>
      <c r="N9" s="37">
        <v>230386.0</v>
      </c>
      <c r="O9" s="47">
        <v>1000.0</v>
      </c>
      <c r="P9" s="37">
        <v>339039.0</v>
      </c>
      <c r="Q9" s="37">
        <v>151928.0</v>
      </c>
      <c r="R9" s="37" t="s">
        <v>96</v>
      </c>
      <c r="S9" s="40" t="s">
        <v>181</v>
      </c>
      <c r="T9" s="72"/>
      <c r="U9" s="40" t="s">
        <v>230</v>
      </c>
      <c r="V9" s="48">
        <f t="shared" ref="V9:W9" si="16">X9-Y9</f>
        <v>1</v>
      </c>
      <c r="W9" s="48">
        <f t="shared" si="16"/>
        <v>1.117057222</v>
      </c>
      <c r="X9" s="48">
        <v>7.0</v>
      </c>
      <c r="Y9" s="48">
        <f t="shared" si="5"/>
        <v>6</v>
      </c>
      <c r="Z9" s="48">
        <f t="shared" si="6"/>
        <v>4.882942778</v>
      </c>
      <c r="AA9" s="37">
        <v>1.0</v>
      </c>
      <c r="AB9" s="64" t="s">
        <v>187</v>
      </c>
      <c r="AC9" s="51">
        <v>18000.0</v>
      </c>
      <c r="AD9" s="51">
        <f t="shared" si="7"/>
        <v>216000</v>
      </c>
      <c r="AE9" s="51">
        <f>IF(COUNTIF(BASE_TG!$AC$2:$AC$1000,U9)=1,IF(AND(S9="SIM",ISNUMBER(AB9)),SUMIF(BASE_TG!$AC$2:$AC$1000,U9,BASE_TG!$AA$2:$AA$1000)*AB9,SUMIF(BASE_TG!$AC$2:$AC$1000,U9,BASE_TG!$AA$2:$AA$1000)),108000)</f>
        <v>108000</v>
      </c>
      <c r="AF9" s="51">
        <f t="shared" si="8"/>
        <v>20107.03</v>
      </c>
      <c r="AG9" s="72"/>
      <c r="AH9" s="53"/>
      <c r="AI9" s="53">
        <f t="shared" si="9"/>
        <v>0</v>
      </c>
      <c r="AJ9" s="54"/>
      <c r="AK9" s="54">
        <f>IF(COUNTIF(BASE_TG!$AC$2:$AC$1000,U9)=1,SUMIF(BASE_TG!$AC$2:$AC$1000,U9,BASE_TG!$AB$2:$AB$1000),"")</f>
        <v>20107.03</v>
      </c>
      <c r="AL9" s="55" t="str">
        <f>IF(OR(U9="",U9="-"),"SEM EMPENHO",IF(COUNTIF(BASE_TG!$AC$2:$AC$1000,U9)=0,"NÃO LOCALIZADO",IF(COUNTIF(BASE_TG!$AC$2:$AC$1000,U9)=1,"ATUALIZADO","DUPLICADO")))</f>
        <v>ATUALIZADO</v>
      </c>
    </row>
    <row r="10" ht="19.5" customHeight="1">
      <c r="A10" s="56" t="str">
        <f t="shared" si="11"/>
        <v>2026</v>
      </c>
      <c r="B10" s="46" t="s">
        <v>213</v>
      </c>
      <c r="C10" s="35" t="s">
        <v>220</v>
      </c>
      <c r="D10" s="35" t="s">
        <v>220</v>
      </c>
      <c r="E10" s="69" t="s">
        <v>215</v>
      </c>
      <c r="F10" s="40" t="s">
        <v>101</v>
      </c>
      <c r="G10" s="63" t="s">
        <v>224</v>
      </c>
      <c r="H10" s="43" t="s">
        <v>225</v>
      </c>
      <c r="I10" s="44" t="s">
        <v>187</v>
      </c>
      <c r="J10" s="44">
        <f t="shared" si="2"/>
        <v>46245</v>
      </c>
      <c r="K10" s="44" t="str">
        <f t="shared" si="3"/>
        <v>ATIVO</v>
      </c>
      <c r="L10" s="46" t="s">
        <v>99</v>
      </c>
      <c r="M10" s="37" t="s">
        <v>69</v>
      </c>
      <c r="N10" s="37">
        <v>230390.0</v>
      </c>
      <c r="O10" s="47">
        <v>1000.0</v>
      </c>
      <c r="P10" s="40">
        <v>339047.0</v>
      </c>
      <c r="Q10" s="37">
        <v>157909.0</v>
      </c>
      <c r="R10" s="37" t="s">
        <v>172</v>
      </c>
      <c r="S10" s="40" t="s">
        <v>181</v>
      </c>
      <c r="T10" s="40"/>
      <c r="U10" s="40" t="s">
        <v>235</v>
      </c>
      <c r="V10" s="48">
        <f t="shared" ref="V10:W10" si="17">X10-Y10</f>
        <v>1</v>
      </c>
      <c r="W10" s="48">
        <f t="shared" si="17"/>
        <v>0.898928</v>
      </c>
      <c r="X10" s="48">
        <v>7.0</v>
      </c>
      <c r="Y10" s="48">
        <f t="shared" si="5"/>
        <v>6</v>
      </c>
      <c r="Z10" s="48">
        <f t="shared" si="6"/>
        <v>5.101072</v>
      </c>
      <c r="AA10" s="37">
        <v>1.0</v>
      </c>
      <c r="AB10" s="68" t="s">
        <v>187</v>
      </c>
      <c r="AC10" s="51">
        <v>2500.0</v>
      </c>
      <c r="AD10" s="51">
        <f t="shared" si="7"/>
        <v>30000</v>
      </c>
      <c r="AE10" s="51">
        <f>IF(COUNTIF(BASE_TG!$AC$2:$AC$1000,U10)=1,IF(AND(S10="SIM",ISNUMBER(AB10)),SUMIF(BASE_TG!$AC$2:$AC$1000,U10,BASE_TG!$AA$2:$AA$1000)*AB10,SUMIF(BASE_TG!$AC$2:$AC$1000,U10,BASE_TG!$AA$2:$AA$1000)),15000)</f>
        <v>15000</v>
      </c>
      <c r="AF10" s="51">
        <f t="shared" si="8"/>
        <v>2247.32</v>
      </c>
      <c r="AG10" s="52"/>
      <c r="AH10" s="53"/>
      <c r="AI10" s="51">
        <f t="shared" si="9"/>
        <v>0</v>
      </c>
      <c r="AJ10" s="54"/>
      <c r="AK10" s="54">
        <f>IF(COUNTIF(BASE_TG!$AC$2:$AC$1000,U10)=1,SUMIF(BASE_TG!$AC$2:$AC$1000,U10,BASE_TG!$AB$2:$AB$1000),"")</f>
        <v>2247.32</v>
      </c>
      <c r="AL10" s="55" t="str">
        <f>IF(OR(U10="",U10="-"),"SEM EMPENHO",IF(COUNTIF(BASE_TG!$AC$2:$AC$1000,U10)=0,"NÃO LOCALIZADO",IF(COUNTIF(BASE_TG!$AC$2:$AC$1000,U10)=1,"ATUALIZADO","DUPLICADO")))</f>
        <v>ATUALIZADO</v>
      </c>
    </row>
    <row r="11" ht="19.5" customHeight="1">
      <c r="A11" s="56" t="str">
        <f t="shared" si="11"/>
        <v>2026</v>
      </c>
      <c r="B11" s="46" t="s">
        <v>213</v>
      </c>
      <c r="C11" s="35" t="s">
        <v>220</v>
      </c>
      <c r="D11" s="35" t="s">
        <v>220</v>
      </c>
      <c r="E11" s="71" t="s">
        <v>215</v>
      </c>
      <c r="F11" s="40" t="s">
        <v>101</v>
      </c>
      <c r="G11" s="63" t="s">
        <v>224</v>
      </c>
      <c r="H11" s="43" t="s">
        <v>225</v>
      </c>
      <c r="I11" s="44" t="s">
        <v>187</v>
      </c>
      <c r="J11" s="44">
        <f t="shared" si="2"/>
        <v>46245</v>
      </c>
      <c r="K11" s="44" t="str">
        <f t="shared" si="3"/>
        <v>ATIVO</v>
      </c>
      <c r="L11" s="46" t="s">
        <v>93</v>
      </c>
      <c r="M11" s="37" t="s">
        <v>94</v>
      </c>
      <c r="N11" s="37">
        <v>230386.0</v>
      </c>
      <c r="O11" s="47">
        <v>1000.0</v>
      </c>
      <c r="P11" s="40">
        <v>339047.0</v>
      </c>
      <c r="Q11" s="37">
        <v>151928.0</v>
      </c>
      <c r="R11" s="37" t="s">
        <v>178</v>
      </c>
      <c r="S11" s="40" t="s">
        <v>181</v>
      </c>
      <c r="T11" s="72"/>
      <c r="U11" s="40" t="s">
        <v>245</v>
      </c>
      <c r="V11" s="48">
        <f t="shared" ref="V11:W11" si="18">X11-Y11</f>
        <v>1</v>
      </c>
      <c r="W11" s="48">
        <f t="shared" si="18"/>
        <v>0.58052</v>
      </c>
      <c r="X11" s="48">
        <v>7.0</v>
      </c>
      <c r="Y11" s="48">
        <f t="shared" si="5"/>
        <v>6</v>
      </c>
      <c r="Z11" s="48">
        <f t="shared" si="6"/>
        <v>5.41948</v>
      </c>
      <c r="AA11" s="37">
        <v>1.0</v>
      </c>
      <c r="AB11" s="70" t="s">
        <v>187</v>
      </c>
      <c r="AC11" s="51">
        <v>500.0</v>
      </c>
      <c r="AD11" s="51">
        <f t="shared" si="7"/>
        <v>6000</v>
      </c>
      <c r="AE11" s="51">
        <f>IF(COUNTIF(BASE_TG!$AC$2:$AC$1000,U11)=1,IF(AND(S11="SIM",ISNUMBER(AB11)),SUMIF(BASE_TG!$AC$2:$AC$1000,U11,BASE_TG!$AA$2:$AA$1000)*AB11,SUMIF(BASE_TG!$AC$2:$AC$1000,U11,BASE_TG!$AA$2:$AA$1000)),3000)</f>
        <v>3000</v>
      </c>
      <c r="AF11" s="51">
        <f t="shared" si="8"/>
        <v>290.26</v>
      </c>
      <c r="AG11" s="72"/>
      <c r="AH11" s="53"/>
      <c r="AI11" s="53">
        <f t="shared" si="9"/>
        <v>0</v>
      </c>
      <c r="AJ11" s="54"/>
      <c r="AK11" s="54">
        <f>IF(COUNTIF(BASE_TG!$AC$2:$AC$1000,U11)=1,SUMIF(BASE_TG!$AC$2:$AC$1000,U11,BASE_TG!$AB$2:$AB$1000),"")</f>
        <v>290.26</v>
      </c>
      <c r="AL11" s="55" t="str">
        <f>IF(OR(U11="",U11="-"),"SEM EMPENHO",IF(COUNTIF(BASE_TG!$AC$2:$AC$1000,U11)=0,"NÃO LOCALIZADO",IF(COUNTIF(BASE_TG!$AC$2:$AC$1000,U11)=1,"ATUALIZADO","DUPLICADO")))</f>
        <v>ATUALIZADO</v>
      </c>
    </row>
    <row r="12" ht="19.5" customHeight="1">
      <c r="A12" s="56" t="str">
        <f t="shared" si="11"/>
        <v>2026</v>
      </c>
      <c r="B12" s="46" t="s">
        <v>213</v>
      </c>
      <c r="C12" s="35" t="s">
        <v>90</v>
      </c>
      <c r="D12" s="35" t="s">
        <v>90</v>
      </c>
      <c r="E12" s="69" t="s">
        <v>259</v>
      </c>
      <c r="F12" s="40" t="s">
        <v>101</v>
      </c>
      <c r="G12" s="63" t="s">
        <v>290</v>
      </c>
      <c r="H12" s="43" t="s">
        <v>293</v>
      </c>
      <c r="I12" s="44" t="s">
        <v>187</v>
      </c>
      <c r="J12" s="44">
        <f t="shared" si="2"/>
        <v>46245</v>
      </c>
      <c r="K12" s="44" t="str">
        <f t="shared" si="3"/>
        <v>ATIVO</v>
      </c>
      <c r="L12" s="46" t="s">
        <v>99</v>
      </c>
      <c r="M12" s="37" t="s">
        <v>69</v>
      </c>
      <c r="N12" s="37">
        <v>230390.0</v>
      </c>
      <c r="O12" s="47">
        <v>1000.0</v>
      </c>
      <c r="P12" s="40">
        <v>339039.0</v>
      </c>
      <c r="Q12" s="37">
        <v>157909.0</v>
      </c>
      <c r="R12" s="37" t="s">
        <v>102</v>
      </c>
      <c r="S12" s="40" t="s">
        <v>181</v>
      </c>
      <c r="T12" s="40"/>
      <c r="U12" s="40" t="s">
        <v>255</v>
      </c>
      <c r="V12" s="48">
        <f t="shared" ref="V12:W12" si="19">X12-Y12</f>
        <v>1</v>
      </c>
      <c r="W12" s="48">
        <f t="shared" si="19"/>
        <v>0.2455253333</v>
      </c>
      <c r="X12" s="48">
        <v>7.0</v>
      </c>
      <c r="Y12" s="48">
        <f t="shared" si="5"/>
        <v>6</v>
      </c>
      <c r="Z12" s="48">
        <f t="shared" si="6"/>
        <v>5.754474667</v>
      </c>
      <c r="AA12" s="37">
        <v>1.0</v>
      </c>
      <c r="AB12" s="64" t="s">
        <v>187</v>
      </c>
      <c r="AC12" s="51">
        <v>45000.0</v>
      </c>
      <c r="AD12" s="51">
        <f t="shared" si="7"/>
        <v>540000</v>
      </c>
      <c r="AE12" s="51">
        <f>IF(COUNTIF(BASE_TG!$AC$2:$AC$1000,U12)=1,IF(AND(S12="SIM",ISNUMBER(AB12)),SUMIF(BASE_TG!$AC$2:$AC$1000,U12,BASE_TG!$AA$2:$AA$1000)*AB12,SUMIF(BASE_TG!$AC$2:$AC$1000,U12,BASE_TG!$AA$2:$AA$1000)),270000)</f>
        <v>270000</v>
      </c>
      <c r="AF12" s="51">
        <f t="shared" si="8"/>
        <v>11048.64</v>
      </c>
      <c r="AG12" s="52"/>
      <c r="AH12" s="53"/>
      <c r="AI12" s="51">
        <f t="shared" si="9"/>
        <v>0</v>
      </c>
      <c r="AJ12" s="54"/>
      <c r="AK12" s="54">
        <f>IF(COUNTIF(BASE_TG!$AC$2:$AC$1000,U12)=1,SUMIF(BASE_TG!$AC$2:$AC$1000,U12,BASE_TG!$AB$2:$AB$1000),"")</f>
        <v>11048.64</v>
      </c>
      <c r="AL12" s="55" t="str">
        <f>IF(OR(U12="",U12="-"),"SEM EMPENHO",IF(COUNTIF(BASE_TG!$AC$2:$AC$1000,U12)=0,"NÃO LOCALIZADO",IF(COUNTIF(BASE_TG!$AC$2:$AC$1000,U12)=1,"ATUALIZADO","DUPLICADO")))</f>
        <v>ATUALIZADO</v>
      </c>
    </row>
    <row r="13" ht="19.5" customHeight="1">
      <c r="A13" s="56" t="str">
        <f t="shared" si="11"/>
        <v>2026</v>
      </c>
      <c r="B13" s="46" t="s">
        <v>213</v>
      </c>
      <c r="C13" s="35" t="s">
        <v>90</v>
      </c>
      <c r="D13" s="35" t="s">
        <v>90</v>
      </c>
      <c r="E13" s="69" t="s">
        <v>259</v>
      </c>
      <c r="F13" s="40" t="s">
        <v>101</v>
      </c>
      <c r="G13" s="63" t="s">
        <v>290</v>
      </c>
      <c r="H13" s="43" t="s">
        <v>293</v>
      </c>
      <c r="I13" s="44" t="s">
        <v>187</v>
      </c>
      <c r="J13" s="44">
        <f t="shared" si="2"/>
        <v>46245</v>
      </c>
      <c r="K13" s="44" t="str">
        <f t="shared" si="3"/>
        <v>ATIVO</v>
      </c>
      <c r="L13" s="46" t="s">
        <v>93</v>
      </c>
      <c r="M13" s="37" t="s">
        <v>94</v>
      </c>
      <c r="N13" s="37">
        <v>230386.0</v>
      </c>
      <c r="O13" s="47">
        <v>1000.0</v>
      </c>
      <c r="P13" s="37">
        <v>339039.0</v>
      </c>
      <c r="Q13" s="37">
        <v>151928.0</v>
      </c>
      <c r="R13" s="37" t="s">
        <v>96</v>
      </c>
      <c r="S13" s="40" t="s">
        <v>181</v>
      </c>
      <c r="T13" s="40"/>
      <c r="U13" s="40" t="s">
        <v>264</v>
      </c>
      <c r="V13" s="48">
        <f t="shared" ref="V13:W13" si="20">X13-Y13</f>
        <v>1</v>
      </c>
      <c r="W13" s="48">
        <f t="shared" si="20"/>
        <v>4.627719231</v>
      </c>
      <c r="X13" s="48">
        <v>7.0</v>
      </c>
      <c r="Y13" s="48">
        <f t="shared" si="5"/>
        <v>6</v>
      </c>
      <c r="Z13" s="48">
        <f t="shared" si="6"/>
        <v>1.372280769</v>
      </c>
      <c r="AA13" s="37">
        <v>1.0</v>
      </c>
      <c r="AB13" s="68" t="s">
        <v>187</v>
      </c>
      <c r="AC13" s="51">
        <v>2600.0</v>
      </c>
      <c r="AD13" s="51">
        <f t="shared" si="7"/>
        <v>31200</v>
      </c>
      <c r="AE13" s="51">
        <f>IF(COUNTIF(BASE_TG!$AC$2:$AC$1000,U13)=1,IF(AND(S13="SIM",ISNUMBER(AB13)),SUMIF(BASE_TG!$AC$2:$AC$1000,U13,BASE_TG!$AA$2:$AA$1000)*AB13,SUMIF(BASE_TG!$AC$2:$AC$1000,U13,BASE_TG!$AA$2:$AA$1000)),9610)</f>
        <v>15600</v>
      </c>
      <c r="AF13" s="51">
        <f t="shared" si="8"/>
        <v>12032.07</v>
      </c>
      <c r="AG13" s="51"/>
      <c r="AH13" s="53"/>
      <c r="AI13" s="53">
        <f t="shared" si="9"/>
        <v>0</v>
      </c>
      <c r="AJ13" s="54"/>
      <c r="AK13" s="54">
        <f>IF(COUNTIF(BASE_TG!$AC$2:$AC$1000,U13)=1,SUMIF(BASE_TG!$AC$2:$AC$1000,U13,BASE_TG!$AB$2:$AB$1000),"")</f>
        <v>12032.07</v>
      </c>
      <c r="AL13" s="55" t="str">
        <f>IF(OR(U13="",U13="-"),"SEM EMPENHO",IF(COUNTIF(BASE_TG!$AC$2:$AC$1000,U13)=0,"NÃO LOCALIZADO",IF(COUNTIF(BASE_TG!$AC$2:$AC$1000,U13)=1,"ATUALIZADO","DUPLICADO")))</f>
        <v>ATUALIZADO</v>
      </c>
    </row>
    <row r="14" ht="19.5" customHeight="1">
      <c r="A14" s="56" t="str">
        <f t="shared" si="11"/>
        <v>2021</v>
      </c>
      <c r="B14" s="46" t="s">
        <v>275</v>
      </c>
      <c r="C14" s="37" t="s">
        <v>332</v>
      </c>
      <c r="D14" s="37" t="s">
        <v>98</v>
      </c>
      <c r="E14" s="62" t="s">
        <v>276</v>
      </c>
      <c r="F14" s="40" t="s">
        <v>101</v>
      </c>
      <c r="G14" s="41" t="s">
        <v>103</v>
      </c>
      <c r="H14" s="43">
        <v>7.578965000105E12</v>
      </c>
      <c r="I14" s="44">
        <v>46258.0</v>
      </c>
      <c r="J14" s="44">
        <f t="shared" si="2"/>
        <v>46245</v>
      </c>
      <c r="K14" s="44" t="str">
        <f t="shared" si="3"/>
        <v>ATIVO</v>
      </c>
      <c r="L14" s="46" t="s">
        <v>333</v>
      </c>
      <c r="M14" s="37" t="s">
        <v>69</v>
      </c>
      <c r="N14" s="37">
        <v>230390.0</v>
      </c>
      <c r="O14" s="47">
        <v>1000.0</v>
      </c>
      <c r="P14" s="40">
        <v>339040.0</v>
      </c>
      <c r="Q14" s="37">
        <v>156789.0</v>
      </c>
      <c r="R14" s="40" t="s">
        <v>82</v>
      </c>
      <c r="S14" s="40" t="s">
        <v>181</v>
      </c>
      <c r="T14" s="40"/>
      <c r="U14" s="40" t="s">
        <v>274</v>
      </c>
      <c r="V14" s="48">
        <f t="shared" ref="V14:W14" si="21">X14-Y14</f>
        <v>1</v>
      </c>
      <c r="W14" s="48">
        <f t="shared" si="21"/>
        <v>0.166672</v>
      </c>
      <c r="X14" s="48">
        <v>7.0</v>
      </c>
      <c r="Y14" s="48">
        <f t="shared" si="5"/>
        <v>6</v>
      </c>
      <c r="Z14" s="48">
        <f t="shared" si="6"/>
        <v>5.833328</v>
      </c>
      <c r="AA14" s="37">
        <v>1.0</v>
      </c>
      <c r="AB14" s="70" t="s">
        <v>187</v>
      </c>
      <c r="AC14" s="51">
        <v>1250.0</v>
      </c>
      <c r="AD14" s="51">
        <f t="shared" si="7"/>
        <v>15000</v>
      </c>
      <c r="AE14" s="51">
        <f>IF(COUNTIF(BASE_TG!$AC$2:$AC$1000,U14)=1,IF(AND(S14="SIM",ISNUMBER(AB14)),SUMIF(BASE_TG!$AC$2:$AC$1000,U14,BASE_TG!$AA$2:$AA$1000)*AB14,SUMIF(BASE_TG!$AC$2:$AC$1000,U14,BASE_TG!$AA$2:$AA$1000)),7500)</f>
        <v>7500</v>
      </c>
      <c r="AF14" s="51">
        <f t="shared" si="8"/>
        <v>208.34</v>
      </c>
      <c r="AG14" s="52"/>
      <c r="AH14" s="53"/>
      <c r="AI14" s="51">
        <f t="shared" si="9"/>
        <v>0</v>
      </c>
      <c r="AJ14" s="54"/>
      <c r="AK14" s="54">
        <f>IF(COUNTIF(BASE_TG!$AC$2:$AC$1000,U14)=1,SUMIF(BASE_TG!$AC$2:$AC$1000,U14,BASE_TG!$AB$2:$AB$1000),"")</f>
        <v>208.34</v>
      </c>
      <c r="AL14" s="55" t="str">
        <f>IF(OR(U14="",U14="-"),"SEM EMPENHO",IF(COUNTIF(BASE_TG!$AC$2:$AC$1000,U14)=0,"NÃO LOCALIZADO",IF(COUNTIF(BASE_TG!$AC$2:$AC$1000,U14)=1,"ATUALIZADO","DUPLICADO")))</f>
        <v>ATUALIZADO</v>
      </c>
    </row>
    <row r="15" ht="19.5" customHeight="1">
      <c r="A15" s="56">
        <v>2025.0</v>
      </c>
      <c r="B15" s="34" t="s">
        <v>286</v>
      </c>
      <c r="C15" s="35" t="s">
        <v>348</v>
      </c>
      <c r="D15" s="37" t="s">
        <v>98</v>
      </c>
      <c r="E15" s="38" t="s">
        <v>287</v>
      </c>
      <c r="F15" s="40" t="s">
        <v>101</v>
      </c>
      <c r="G15" s="63" t="s">
        <v>352</v>
      </c>
      <c r="H15" s="43">
        <v>3.5616978000167E13</v>
      </c>
      <c r="I15" s="44">
        <v>46344.0</v>
      </c>
      <c r="J15" s="44">
        <f t="shared" si="2"/>
        <v>46245</v>
      </c>
      <c r="K15" s="44" t="str">
        <f t="shared" si="3"/>
        <v>ATIVO</v>
      </c>
      <c r="L15" s="46" t="s">
        <v>355</v>
      </c>
      <c r="M15" s="37" t="s">
        <v>69</v>
      </c>
      <c r="N15" s="37">
        <v>230390.0</v>
      </c>
      <c r="O15" s="47">
        <v>1000.0</v>
      </c>
      <c r="P15" s="37">
        <v>339039.0</v>
      </c>
      <c r="Q15" s="37">
        <v>157742.0</v>
      </c>
      <c r="R15" s="37" t="s">
        <v>102</v>
      </c>
      <c r="S15" s="40" t="s">
        <v>181</v>
      </c>
      <c r="T15" s="40"/>
      <c r="U15" s="40" t="s">
        <v>285</v>
      </c>
      <c r="V15" s="48">
        <f t="shared" ref="V15:W15" si="22">X15-Y15</f>
        <v>1</v>
      </c>
      <c r="W15" s="48">
        <f t="shared" si="22"/>
        <v>3.163636364</v>
      </c>
      <c r="X15" s="48">
        <v>7.0</v>
      </c>
      <c r="Y15" s="48">
        <f t="shared" si="5"/>
        <v>6</v>
      </c>
      <c r="Z15" s="48">
        <f t="shared" si="6"/>
        <v>2.836363636</v>
      </c>
      <c r="AA15" s="37">
        <v>1.0</v>
      </c>
      <c r="AB15" s="64" t="s">
        <v>187</v>
      </c>
      <c r="AC15" s="50">
        <f>5500/12</f>
        <v>458.3333333</v>
      </c>
      <c r="AD15" s="51">
        <f t="shared" si="7"/>
        <v>5500</v>
      </c>
      <c r="AE15" s="51">
        <f>IF(COUNTIF(BASE_TG!$AC$2:$AC$1000,U15)=1,IF(AND(S15="SIM",ISNUMBER(AB15)),SUMIF(BASE_TG!$AC$2:$AC$1000,U15,BASE_TG!$AA$2:$AA$1000)*AB15,SUMIF(BASE_TG!$AC$2:$AC$1000,U15,BASE_TG!$AA$2:$AA$1000)),2750)</f>
        <v>2750</v>
      </c>
      <c r="AF15" s="51">
        <f t="shared" si="8"/>
        <v>1450</v>
      </c>
      <c r="AG15" s="52"/>
      <c r="AH15" s="53"/>
      <c r="AI15" s="51">
        <f t="shared" si="9"/>
        <v>0</v>
      </c>
      <c r="AJ15" s="54"/>
      <c r="AK15" s="54">
        <f>IF(COUNTIF(BASE_TG!$AC$2:$AC$1000,U15)=1,SUMIF(BASE_TG!$AC$2:$AC$1000,U15,BASE_TG!$AB$2:$AB$1000),"")</f>
        <v>1450</v>
      </c>
      <c r="AL15" s="55" t="str">
        <f>IF(OR(U15="",U15="-"),"SEM EMPENHO",IF(COUNTIF(BASE_TG!$AC$2:$AC$1000,U15)=0,"NÃO LOCALIZADO",IF(COUNTIF(BASE_TG!$AC$2:$AC$1000,U15)=1,"ATUALIZADO","DUPLICADO")))</f>
        <v>ATUALIZADO</v>
      </c>
    </row>
    <row r="16" ht="27.75" customHeight="1">
      <c r="A16" s="56" t="str">
        <f t="shared" ref="A16:A33" si="24">RIGHT(B16,4)</f>
        <v>2025</v>
      </c>
      <c r="B16" s="46" t="s">
        <v>296</v>
      </c>
      <c r="C16" s="37" t="s">
        <v>371</v>
      </c>
      <c r="D16" s="35" t="s">
        <v>373</v>
      </c>
      <c r="E16" s="73" t="s">
        <v>297</v>
      </c>
      <c r="F16" s="40" t="s">
        <v>101</v>
      </c>
      <c r="G16" s="63" t="s">
        <v>374</v>
      </c>
      <c r="H16" s="43">
        <v>6.157430000106E12</v>
      </c>
      <c r="I16" s="74">
        <v>46404.0</v>
      </c>
      <c r="J16" s="44">
        <f t="shared" si="2"/>
        <v>46245</v>
      </c>
      <c r="K16" s="44" t="str">
        <f t="shared" si="3"/>
        <v>ATIVO</v>
      </c>
      <c r="L16" s="46" t="s">
        <v>355</v>
      </c>
      <c r="M16" s="37" t="s">
        <v>69</v>
      </c>
      <c r="N16" s="37">
        <v>230390.0</v>
      </c>
      <c r="O16" s="47">
        <v>1000.0</v>
      </c>
      <c r="P16" s="37">
        <v>339033.0</v>
      </c>
      <c r="Q16" s="37">
        <v>157742.0</v>
      </c>
      <c r="R16" s="37" t="s">
        <v>102</v>
      </c>
      <c r="S16" s="40" t="s">
        <v>111</v>
      </c>
      <c r="T16" s="40"/>
      <c r="U16" s="40" t="s">
        <v>295</v>
      </c>
      <c r="V16" s="48">
        <f t="shared" ref="V16:W16" si="23">X16-Y16</f>
        <v>0.1608469813</v>
      </c>
      <c r="W16" s="48">
        <f t="shared" si="23"/>
        <v>2.461461237</v>
      </c>
      <c r="X16" s="48">
        <v>7.0</v>
      </c>
      <c r="Y16" s="48">
        <f t="shared" si="5"/>
        <v>6.839153019</v>
      </c>
      <c r="Z16" s="48">
        <f t="shared" si="6"/>
        <v>4.377691782</v>
      </c>
      <c r="AA16" s="37">
        <v>2.0</v>
      </c>
      <c r="AB16" s="49">
        <v>1.0</v>
      </c>
      <c r="AC16" s="75">
        <f>1736.52*15</f>
        <v>26047.8</v>
      </c>
      <c r="AD16" s="51">
        <f t="shared" si="7"/>
        <v>312573.6</v>
      </c>
      <c r="AE16" s="51">
        <f>IF(COUNTIF(BASE_TG!$AC$2:$AC$1000,U16)=1,IF(AND(S16="SIM",ISNUMBER(AB16)),SUMIF(BASE_TG!$AC$2:$AC$1000,U16,BASE_TG!$AA$2:$AA$1000)*AB16,SUMIF(BASE_TG!$AC$2:$AC$1000,U16,BASE_TG!$AA$2:$AA$1000)),158144.89)</f>
        <v>178144.89</v>
      </c>
      <c r="AF16" s="76">
        <f t="shared" si="8"/>
        <v>64115.65</v>
      </c>
      <c r="AG16" s="52"/>
      <c r="AH16" s="53"/>
      <c r="AI16" s="51">
        <f t="shared" si="9"/>
        <v>0</v>
      </c>
      <c r="AJ16" s="54"/>
      <c r="AK16" s="54">
        <f>IF(COUNTIF(BASE_TG!$AC$2:$AC$1000,U16)=1,SUMIF(BASE_TG!$AC$2:$AC$1000,U16,BASE_TG!$AB$2:$AB$1000),"")</f>
        <v>64115.65</v>
      </c>
      <c r="AL16" s="55" t="str">
        <f>IF(OR(U16="",U16="-"),"SEM EMPENHO",IF(COUNTIF(BASE_TG!$AC$2:$AC$1000,U16)=0,"NÃO LOCALIZADO",IF(COUNTIF(BASE_TG!$AC$2:$AC$1000,U16)=1,"ATUALIZADO","DUPLICADO")))</f>
        <v>ATUALIZADO</v>
      </c>
    </row>
    <row r="17" ht="33.0" customHeight="1">
      <c r="A17" s="77" t="str">
        <f t="shared" si="24"/>
        <v>2025</v>
      </c>
      <c r="B17" s="78" t="s">
        <v>296</v>
      </c>
      <c r="C17" s="79" t="s">
        <v>371</v>
      </c>
      <c r="D17" s="79" t="s">
        <v>373</v>
      </c>
      <c r="E17" s="80" t="s">
        <v>297</v>
      </c>
      <c r="F17" s="81" t="s">
        <v>390</v>
      </c>
      <c r="G17" s="81" t="s">
        <v>374</v>
      </c>
      <c r="H17" s="82">
        <v>6.157430000106E12</v>
      </c>
      <c r="I17" s="83">
        <v>46404.0</v>
      </c>
      <c r="J17" s="84">
        <f t="shared" si="2"/>
        <v>46245</v>
      </c>
      <c r="K17" s="84" t="str">
        <f t="shared" si="3"/>
        <v>ATIVO</v>
      </c>
      <c r="L17" s="78" t="s">
        <v>355</v>
      </c>
      <c r="M17" s="79" t="s">
        <v>69</v>
      </c>
      <c r="N17" s="79">
        <v>230390.0</v>
      </c>
      <c r="O17" s="85">
        <v>1000.0</v>
      </c>
      <c r="P17" s="79">
        <v>339033.0</v>
      </c>
      <c r="Q17" s="79">
        <v>157742.0</v>
      </c>
      <c r="R17" s="79" t="s">
        <v>102</v>
      </c>
      <c r="S17" s="81" t="s">
        <v>111</v>
      </c>
      <c r="T17" s="81"/>
      <c r="U17" s="81" t="s">
        <v>187</v>
      </c>
      <c r="V17" s="81"/>
      <c r="W17" s="81"/>
      <c r="X17" s="81"/>
      <c r="Y17" s="81"/>
      <c r="Z17" s="81"/>
      <c r="AA17" s="79">
        <v>3.0</v>
      </c>
      <c r="AB17" s="81"/>
      <c r="AC17" s="86">
        <v>0.0</v>
      </c>
      <c r="AD17" s="87">
        <f t="shared" si="7"/>
        <v>0</v>
      </c>
      <c r="AE17" s="88">
        <f>IF(COUNTIF(BASE_TG!$AC$2:$AC$1000,U17)=1,IF(AND(S17="SIM",ISNUMBER(AB17)),SUMIF(BASE_TG!$AC$2:$AC$1000,U17,BASE_TG!$AA$2:$AA$1000)*AB17,SUMIF(BASE_TG!$AC$2:$AC$1000,U17,BASE_TG!$AA$2:$AA$1000)),0)</f>
        <v>0</v>
      </c>
      <c r="AF17" s="88" t="str">
        <f t="shared" si="8"/>
        <v/>
      </c>
      <c r="AG17" s="89"/>
      <c r="AH17" s="89"/>
      <c r="AI17" s="87"/>
      <c r="AJ17" s="54"/>
      <c r="AK17" s="54" t="str">
        <f>IF(COUNTIF(BASE_TG!$AC$2:$AC$1000,U17)=1,SUMIF(BASE_TG!$AC$2:$AC$1000,U17,BASE_TG!$AB$2:$AB$1000),"")</f>
        <v/>
      </c>
      <c r="AL17" s="55" t="str">
        <f>IF(OR(U17="",U17="-"),"SEM EMPENHO",IF(COUNTIF(BASE_TG!$AC$2:$AC$1000,U17)=0,"NÃO LOCALIZADO",IF(COUNTIF(BASE_TG!$AC$2:$AC$1000,U17)=1,"ATUALIZADO","DUPLICADO")))</f>
        <v>SEM EMPENHO</v>
      </c>
    </row>
    <row r="18" ht="19.5" customHeight="1">
      <c r="A18" s="77" t="str">
        <f t="shared" si="24"/>
        <v>2025</v>
      </c>
      <c r="B18" s="78" t="s">
        <v>296</v>
      </c>
      <c r="C18" s="79" t="s">
        <v>371</v>
      </c>
      <c r="D18" s="79" t="s">
        <v>373</v>
      </c>
      <c r="E18" s="80" t="s">
        <v>297</v>
      </c>
      <c r="F18" s="81" t="s">
        <v>390</v>
      </c>
      <c r="G18" s="81" t="s">
        <v>374</v>
      </c>
      <c r="H18" s="82">
        <v>6.157430000106E12</v>
      </c>
      <c r="I18" s="83">
        <v>46404.0</v>
      </c>
      <c r="J18" s="84">
        <f t="shared" si="2"/>
        <v>46245</v>
      </c>
      <c r="K18" s="84" t="str">
        <f t="shared" si="3"/>
        <v>ATIVO</v>
      </c>
      <c r="L18" s="78" t="s">
        <v>355</v>
      </c>
      <c r="M18" s="79" t="s">
        <v>69</v>
      </c>
      <c r="N18" s="79">
        <v>230390.0</v>
      </c>
      <c r="O18" s="85">
        <v>1000.0</v>
      </c>
      <c r="P18" s="79">
        <v>339039.0</v>
      </c>
      <c r="Q18" s="79">
        <v>157742.0</v>
      </c>
      <c r="R18" s="79" t="s">
        <v>102</v>
      </c>
      <c r="S18" s="81" t="s">
        <v>111</v>
      </c>
      <c r="T18" s="81"/>
      <c r="U18" s="81" t="s">
        <v>187</v>
      </c>
      <c r="V18" s="81"/>
      <c r="W18" s="81"/>
      <c r="X18" s="81"/>
      <c r="Y18" s="81"/>
      <c r="Z18" s="81"/>
      <c r="AA18" s="79">
        <v>4.0</v>
      </c>
      <c r="AB18" s="81"/>
      <c r="AC18" s="86">
        <v>0.0</v>
      </c>
      <c r="AD18" s="87">
        <f t="shared" si="7"/>
        <v>0</v>
      </c>
      <c r="AE18" s="88">
        <f>IF(COUNTIF(BASE_TG!$AC$2:$AC$1000,U18)=1,IF(AND(S18="SIM",ISNUMBER(AB18)),SUMIF(BASE_TG!$AC$2:$AC$1000,U18,BASE_TG!$AA$2:$AA$1000)*AB18,SUMIF(BASE_TG!$AC$2:$AC$1000,U18,BASE_TG!$AA$2:$AA$1000)),0)</f>
        <v>0</v>
      </c>
      <c r="AF18" s="88" t="str">
        <f t="shared" si="8"/>
        <v/>
      </c>
      <c r="AG18" s="89"/>
      <c r="AH18" s="89"/>
      <c r="AI18" s="87"/>
      <c r="AJ18" s="54"/>
      <c r="AK18" s="54" t="str">
        <f>IF(COUNTIF(BASE_TG!$AC$2:$AC$1000,U18)=1,SUMIF(BASE_TG!$AC$2:$AC$1000,U18,BASE_TG!$AB$2:$AB$1000),"")</f>
        <v/>
      </c>
      <c r="AL18" s="55" t="str">
        <f>IF(OR(U18="",U18="-"),"SEM EMPENHO",IF(COUNTIF(BASE_TG!$AC$2:$AC$1000,U18)=0,"NÃO LOCALIZADO",IF(COUNTIF(BASE_TG!$AC$2:$AC$1000,U18)=1,"ATUALIZADO","DUPLICADO")))</f>
        <v>SEM EMPENHO</v>
      </c>
    </row>
    <row r="19" ht="27.75" customHeight="1">
      <c r="A19" s="56" t="str">
        <f t="shared" si="24"/>
        <v>2023</v>
      </c>
      <c r="B19" s="46" t="s">
        <v>308</v>
      </c>
      <c r="C19" s="37" t="s">
        <v>418</v>
      </c>
      <c r="D19" s="37" t="s">
        <v>98</v>
      </c>
      <c r="E19" s="73" t="s">
        <v>312</v>
      </c>
      <c r="F19" s="40" t="s">
        <v>101</v>
      </c>
      <c r="G19" s="41" t="s">
        <v>419</v>
      </c>
      <c r="H19" s="43">
        <v>1.0264684000192E13</v>
      </c>
      <c r="I19" s="44">
        <v>46434.0</v>
      </c>
      <c r="J19" s="44">
        <f t="shared" si="2"/>
        <v>46245</v>
      </c>
      <c r="K19" s="44" t="str">
        <f t="shared" si="3"/>
        <v>ATIVO</v>
      </c>
      <c r="L19" s="46" t="s">
        <v>99</v>
      </c>
      <c r="M19" s="37" t="s">
        <v>69</v>
      </c>
      <c r="N19" s="37">
        <v>230390.0</v>
      </c>
      <c r="O19" s="47">
        <v>1000.0</v>
      </c>
      <c r="P19" s="37">
        <v>339037.0</v>
      </c>
      <c r="Q19" s="40">
        <v>157909.0</v>
      </c>
      <c r="R19" s="37" t="s">
        <v>102</v>
      </c>
      <c r="S19" s="40" t="s">
        <v>181</v>
      </c>
      <c r="T19" s="40"/>
      <c r="U19" s="40" t="s">
        <v>307</v>
      </c>
      <c r="V19" s="48">
        <f t="shared" ref="V19:W19" si="25">X19-Y19</f>
        <v>1</v>
      </c>
      <c r="W19" s="48">
        <f t="shared" si="25"/>
        <v>2.039871709</v>
      </c>
      <c r="X19" s="48">
        <v>7.0</v>
      </c>
      <c r="Y19" s="48">
        <f t="shared" ref="Y19:Y23" si="27">AE19/AC19</f>
        <v>6</v>
      </c>
      <c r="Z19" s="48">
        <f t="shared" ref="Z19:Z23" si="28">(AE19-AF19)/AC19</f>
        <v>3.960128291</v>
      </c>
      <c r="AA19" s="37">
        <v>1.0</v>
      </c>
      <c r="AB19" s="68" t="s">
        <v>187</v>
      </c>
      <c r="AC19" s="65">
        <v>45250.13</v>
      </c>
      <c r="AD19" s="51">
        <f t="shared" si="7"/>
        <v>543001.56</v>
      </c>
      <c r="AE19" s="51">
        <f>IF(COUNTIF(BASE_TG!$AC$2:$AC$1000,U19)=1,IF(AND(S19="SIM",ISNUMBER(AB19)),SUMIF(BASE_TG!$AC$2:$AC$1000,U19,BASE_TG!$AA$2:$AA$1000)*AB19,SUMIF(BASE_TG!$AC$2:$AC$1000,U19,BASE_TG!$AA$2:$AA$1000)),271500.78)</f>
        <v>271500.78</v>
      </c>
      <c r="AF19" s="51">
        <f t="shared" si="8"/>
        <v>92304.46</v>
      </c>
      <c r="AG19" s="52"/>
      <c r="AH19" s="53"/>
      <c r="AI19" s="51">
        <f t="shared" ref="AI19:AI23" si="29">AC19*AH19</f>
        <v>0</v>
      </c>
      <c r="AJ19" s="54"/>
      <c r="AK19" s="54">
        <f>IF(COUNTIF(BASE_TG!$AC$2:$AC$1000,U19)=1,SUMIF(BASE_TG!$AC$2:$AC$1000,U19,BASE_TG!$AB$2:$AB$1000),"")</f>
        <v>92304.46</v>
      </c>
      <c r="AL19" s="55" t="str">
        <f>IF(OR(U19="",U19="-"),"SEM EMPENHO",IF(COUNTIF(BASE_TG!$AC$2:$AC$1000,U19)=0,"NÃO LOCALIZADO",IF(COUNTIF(BASE_TG!$AC$2:$AC$1000,U19)=1,"ATUALIZADO","DUPLICADO")))</f>
        <v>ATUALIZADO</v>
      </c>
    </row>
    <row r="20" ht="27.0" customHeight="1">
      <c r="A20" s="56" t="str">
        <f t="shared" si="24"/>
        <v>2023</v>
      </c>
      <c r="B20" s="46" t="s">
        <v>308</v>
      </c>
      <c r="C20" s="37" t="s">
        <v>418</v>
      </c>
      <c r="D20" s="37" t="s">
        <v>98</v>
      </c>
      <c r="E20" s="73" t="s">
        <v>312</v>
      </c>
      <c r="F20" s="40" t="s">
        <v>101</v>
      </c>
      <c r="G20" s="41" t="s">
        <v>419</v>
      </c>
      <c r="H20" s="43">
        <v>1.0264684000192E13</v>
      </c>
      <c r="I20" s="44">
        <v>46434.0</v>
      </c>
      <c r="J20" s="44">
        <f t="shared" si="2"/>
        <v>46245</v>
      </c>
      <c r="K20" s="44" t="str">
        <f t="shared" si="3"/>
        <v>ATIVO</v>
      </c>
      <c r="L20" s="46" t="s">
        <v>99</v>
      </c>
      <c r="M20" s="37" t="s">
        <v>69</v>
      </c>
      <c r="N20" s="37">
        <v>230390.0</v>
      </c>
      <c r="O20" s="47">
        <v>1000.0</v>
      </c>
      <c r="P20" s="37">
        <v>339039.0</v>
      </c>
      <c r="Q20" s="40">
        <v>157909.0</v>
      </c>
      <c r="R20" s="37" t="s">
        <v>102</v>
      </c>
      <c r="S20" s="40" t="s">
        <v>181</v>
      </c>
      <c r="T20" s="40"/>
      <c r="U20" s="40" t="s">
        <v>321</v>
      </c>
      <c r="V20" s="48">
        <f t="shared" ref="V20:W20" si="26">X20-Y20</f>
        <v>1</v>
      </c>
      <c r="W20" s="48">
        <f t="shared" si="26"/>
        <v>5.092611987</v>
      </c>
      <c r="X20" s="48">
        <v>7.0</v>
      </c>
      <c r="Y20" s="48">
        <f t="shared" si="27"/>
        <v>6</v>
      </c>
      <c r="Z20" s="48">
        <f t="shared" si="28"/>
        <v>0.9073880126</v>
      </c>
      <c r="AA20" s="37">
        <v>2.0</v>
      </c>
      <c r="AB20" s="70" t="s">
        <v>187</v>
      </c>
      <c r="AC20" s="65">
        <v>24185.53</v>
      </c>
      <c r="AD20" s="51">
        <f t="shared" si="7"/>
        <v>290226.36</v>
      </c>
      <c r="AE20" s="51">
        <f>IF(COUNTIF(BASE_TG!$AC$2:$AC$1000,U20)=1,IF(AND(S20="SIM",ISNUMBER(AB20)),SUMIF(BASE_TG!$AC$2:$AC$1000,U20,BASE_TG!$AA$2:$AA$1000)*AB20,SUMIF(BASE_TG!$AC$2:$AC$1000,U20,BASE_TG!$AA$2:$AA$1000)),145113.18)</f>
        <v>145113.18</v>
      </c>
      <c r="AF20" s="51">
        <f t="shared" si="8"/>
        <v>123167.52</v>
      </c>
      <c r="AG20" s="52"/>
      <c r="AH20" s="53"/>
      <c r="AI20" s="51">
        <f t="shared" si="29"/>
        <v>0</v>
      </c>
      <c r="AJ20" s="54"/>
      <c r="AK20" s="54">
        <f>IF(COUNTIF(BASE_TG!$AC$2:$AC$1000,U20)=1,SUMIF(BASE_TG!$AC$2:$AC$1000,U20,BASE_TG!$AB$2:$AB$1000),"")</f>
        <v>123167.52</v>
      </c>
      <c r="AL20" s="55" t="str">
        <f>IF(OR(U20="",U20="-"),"SEM EMPENHO",IF(COUNTIF(BASE_TG!$AC$2:$AC$1000,U20)=0,"NÃO LOCALIZADO",IF(COUNTIF(BASE_TG!$AC$2:$AC$1000,U20)=1,"ATUALIZADO","DUPLICADO")))</f>
        <v>ATUALIZADO</v>
      </c>
    </row>
    <row r="21" ht="27.0" customHeight="1">
      <c r="A21" s="56" t="str">
        <f t="shared" si="24"/>
        <v>2023</v>
      </c>
      <c r="B21" s="46" t="s">
        <v>329</v>
      </c>
      <c r="C21" s="37" t="s">
        <v>443</v>
      </c>
      <c r="D21" s="37" t="s">
        <v>98</v>
      </c>
      <c r="E21" s="73" t="s">
        <v>331</v>
      </c>
      <c r="F21" s="40" t="s">
        <v>101</v>
      </c>
      <c r="G21" s="41" t="s">
        <v>446</v>
      </c>
      <c r="H21" s="43" t="s">
        <v>447</v>
      </c>
      <c r="I21" s="44">
        <v>46276.0</v>
      </c>
      <c r="J21" s="44">
        <f t="shared" si="2"/>
        <v>46245</v>
      </c>
      <c r="K21" s="44" t="str">
        <f t="shared" si="3"/>
        <v>ATIVO</v>
      </c>
      <c r="L21" s="46" t="s">
        <v>355</v>
      </c>
      <c r="M21" s="37" t="s">
        <v>69</v>
      </c>
      <c r="N21" s="37">
        <v>230390.0</v>
      </c>
      <c r="O21" s="47">
        <v>1000.0</v>
      </c>
      <c r="P21" s="37">
        <v>339039.0</v>
      </c>
      <c r="Q21" s="37">
        <v>157742.0</v>
      </c>
      <c r="R21" s="37" t="s">
        <v>102</v>
      </c>
      <c r="S21" s="40" t="s">
        <v>181</v>
      </c>
      <c r="T21" s="40"/>
      <c r="U21" s="40" t="s">
        <v>327</v>
      </c>
      <c r="V21" s="48">
        <f t="shared" ref="V21:W21" si="30">X21-Y21</f>
        <v>1</v>
      </c>
      <c r="W21" s="48">
        <f t="shared" si="30"/>
        <v>2.39536</v>
      </c>
      <c r="X21" s="48">
        <v>7.0</v>
      </c>
      <c r="Y21" s="48">
        <f t="shared" si="27"/>
        <v>6</v>
      </c>
      <c r="Z21" s="48">
        <f t="shared" si="28"/>
        <v>3.60464</v>
      </c>
      <c r="AA21" s="37">
        <v>1.0</v>
      </c>
      <c r="AB21" s="64" t="s">
        <v>187</v>
      </c>
      <c r="AC21" s="51">
        <f>(15000/12)*0.6</f>
        <v>750</v>
      </c>
      <c r="AD21" s="51">
        <f t="shared" si="7"/>
        <v>9000</v>
      </c>
      <c r="AE21" s="51">
        <f>IF(COUNTIF(BASE_TG!$AC$2:$AC$1000,U21)=1,IF(AND(S21="SIM",ISNUMBER(AB21)),SUMIF(BASE_TG!$AC$2:$AC$1000,U21,BASE_TG!$AA$2:$AA$1000)*AB21,SUMIF(BASE_TG!$AC$2:$AC$1000,U21,BASE_TG!$AA$2:$AA$1000)),4500)</f>
        <v>4500</v>
      </c>
      <c r="AF21" s="51">
        <f t="shared" si="8"/>
        <v>1796.52</v>
      </c>
      <c r="AG21" s="52"/>
      <c r="AH21" s="53"/>
      <c r="AI21" s="51">
        <f t="shared" si="29"/>
        <v>0</v>
      </c>
      <c r="AJ21" s="54"/>
      <c r="AK21" s="54">
        <f>IF(COUNTIF(BASE_TG!$AC$2:$AC$1000,U21)=1,SUMIF(BASE_TG!$AC$2:$AC$1000,U21,BASE_TG!$AB$2:$AB$1000),"")</f>
        <v>1796.52</v>
      </c>
      <c r="AL21" s="55" t="str">
        <f>IF(OR(U21="",U21="-"),"SEM EMPENHO",IF(COUNTIF(BASE_TG!$AC$2:$AC$1000,U21)=0,"NÃO LOCALIZADO",IF(COUNTIF(BASE_TG!$AC$2:$AC$1000,U21)=1,"ATUALIZADO","DUPLICADO")))</f>
        <v>ATUALIZADO</v>
      </c>
    </row>
    <row r="22" ht="30.0" customHeight="1">
      <c r="A22" s="56" t="str">
        <f t="shared" si="24"/>
        <v>2022</v>
      </c>
      <c r="B22" s="46" t="s">
        <v>342</v>
      </c>
      <c r="C22" s="37" t="s">
        <v>458</v>
      </c>
      <c r="D22" s="37" t="s">
        <v>98</v>
      </c>
      <c r="E22" s="38" t="s">
        <v>343</v>
      </c>
      <c r="F22" s="40" t="s">
        <v>101</v>
      </c>
      <c r="G22" s="41" t="s">
        <v>459</v>
      </c>
      <c r="H22" s="43" t="s">
        <v>460</v>
      </c>
      <c r="I22" s="44">
        <v>46266.0</v>
      </c>
      <c r="J22" s="44">
        <f t="shared" si="2"/>
        <v>46245</v>
      </c>
      <c r="K22" s="44" t="str">
        <f t="shared" si="3"/>
        <v>ATIVO</v>
      </c>
      <c r="L22" s="46" t="s">
        <v>99</v>
      </c>
      <c r="M22" s="37" t="s">
        <v>69</v>
      </c>
      <c r="N22" s="37">
        <v>230390.0</v>
      </c>
      <c r="O22" s="47">
        <v>1000.0</v>
      </c>
      <c r="P22" s="37">
        <v>339037.0</v>
      </c>
      <c r="Q22" s="40">
        <v>157909.0</v>
      </c>
      <c r="R22" s="37" t="s">
        <v>102</v>
      </c>
      <c r="S22" s="40" t="s">
        <v>181</v>
      </c>
      <c r="T22" s="40"/>
      <c r="U22" s="40" t="s">
        <v>341</v>
      </c>
      <c r="V22" s="48">
        <f t="shared" ref="V22:W22" si="31">X22-Y22</f>
        <v>1</v>
      </c>
      <c r="W22" s="48">
        <f t="shared" si="31"/>
        <v>0.02044860486</v>
      </c>
      <c r="X22" s="48">
        <v>7.0</v>
      </c>
      <c r="Y22" s="48">
        <f t="shared" si="27"/>
        <v>6</v>
      </c>
      <c r="Z22" s="48">
        <f t="shared" si="28"/>
        <v>5.979551395</v>
      </c>
      <c r="AA22" s="37">
        <v>1.0</v>
      </c>
      <c r="AB22" s="68" t="s">
        <v>187</v>
      </c>
      <c r="AC22" s="65">
        <v>927298.47</v>
      </c>
      <c r="AD22" s="51">
        <f t="shared" si="7"/>
        <v>11127581.64</v>
      </c>
      <c r="AE22" s="51">
        <f>IF(COUNTIF(BASE_TG!$AC$2:$AC$1000,U22)=1,IF(AND(S22="SIM",ISNUMBER(AB22)),SUMIF(BASE_TG!$AC$2:$AC$1000,U22,BASE_TG!$AA$2:$AA$1000)*AB22,SUMIF(BASE_TG!$AC$2:$AC$1000,U22,BASE_TG!$AA$2:$AA$1000)),5563790.82)</f>
        <v>5563790.82</v>
      </c>
      <c r="AF22" s="51">
        <f t="shared" si="8"/>
        <v>18961.96</v>
      </c>
      <c r="AG22" s="52"/>
      <c r="AH22" s="53"/>
      <c r="AI22" s="51">
        <f t="shared" si="29"/>
        <v>0</v>
      </c>
      <c r="AJ22" s="54"/>
      <c r="AK22" s="54">
        <f>IF(COUNTIF(BASE_TG!$AC$2:$AC$1000,U22)=1,SUMIF(BASE_TG!$AC$2:$AC$1000,U22,BASE_TG!$AB$2:$AB$1000),"")</f>
        <v>18961.96</v>
      </c>
      <c r="AL22" s="55" t="str">
        <f>IF(OR(U22="",U22="-"),"SEM EMPENHO",IF(COUNTIF(BASE_TG!$AC$2:$AC$1000,U22)=0,"NÃO LOCALIZADO",IF(COUNTIF(BASE_TG!$AC$2:$AC$1000,U22)=1,"ATUALIZADO","DUPLICADO")))</f>
        <v>ATUALIZADO</v>
      </c>
    </row>
    <row r="23" ht="30.75" customHeight="1">
      <c r="A23" s="56" t="str">
        <f t="shared" si="24"/>
        <v>2024</v>
      </c>
      <c r="B23" s="46" t="s">
        <v>354</v>
      </c>
      <c r="C23" s="37" t="s">
        <v>471</v>
      </c>
      <c r="D23" s="37" t="s">
        <v>98</v>
      </c>
      <c r="E23" s="73" t="s">
        <v>356</v>
      </c>
      <c r="F23" s="40" t="s">
        <v>101</v>
      </c>
      <c r="G23" s="40" t="s">
        <v>474</v>
      </c>
      <c r="H23" s="43" t="s">
        <v>475</v>
      </c>
      <c r="I23" s="67">
        <v>46558.0</v>
      </c>
      <c r="J23" s="67">
        <f t="shared" si="2"/>
        <v>46245</v>
      </c>
      <c r="K23" s="44" t="str">
        <f t="shared" si="3"/>
        <v>ATIVO</v>
      </c>
      <c r="L23" s="37" t="s">
        <v>476</v>
      </c>
      <c r="M23" s="37" t="s">
        <v>69</v>
      </c>
      <c r="N23" s="37">
        <v>230398.0</v>
      </c>
      <c r="O23" s="47">
        <v>1000.0</v>
      </c>
      <c r="P23" s="37">
        <v>339039.0</v>
      </c>
      <c r="Q23" s="37">
        <v>157978.0</v>
      </c>
      <c r="R23" s="37" t="s">
        <v>317</v>
      </c>
      <c r="S23" s="40" t="s">
        <v>181</v>
      </c>
      <c r="T23" s="40"/>
      <c r="U23" s="40" t="s">
        <v>353</v>
      </c>
      <c r="V23" s="48">
        <f t="shared" ref="V23:W23" si="32">X23-Y23</f>
        <v>1</v>
      </c>
      <c r="W23" s="48">
        <f t="shared" si="32"/>
        <v>0.8980140708</v>
      </c>
      <c r="X23" s="48">
        <v>7.0</v>
      </c>
      <c r="Y23" s="48">
        <f t="shared" si="27"/>
        <v>6</v>
      </c>
      <c r="Z23" s="48">
        <f t="shared" si="28"/>
        <v>5.101985929</v>
      </c>
      <c r="AA23" s="37">
        <v>1.0</v>
      </c>
      <c r="AB23" s="70" t="s">
        <v>187</v>
      </c>
      <c r="AC23" s="50">
        <f>(145090/12)*0.65</f>
        <v>7859.041667</v>
      </c>
      <c r="AD23" s="51">
        <v>151470.0</v>
      </c>
      <c r="AE23" s="51">
        <f>IF(COUNTIF(BASE_TG!$AC$2:$AC$1000,U23)=1,IF(AND(S23="SIM",ISNUMBER(AB23)),SUMIF(BASE_TG!$AC$2:$AC$1000,U23,BASE_TG!$AA$2:$AA$1000)*AB23,SUMIF(BASE_TG!$AC$2:$AC$1000,U23,BASE_TG!$AA$2:$AA$1000)),47154.25)</f>
        <v>47154.25</v>
      </c>
      <c r="AF23" s="51">
        <f t="shared" si="8"/>
        <v>7057.53</v>
      </c>
      <c r="AG23" s="52"/>
      <c r="AH23" s="53"/>
      <c r="AI23" s="51">
        <f t="shared" si="29"/>
        <v>0</v>
      </c>
      <c r="AJ23" s="54"/>
      <c r="AK23" s="54">
        <f>IF(COUNTIF(BASE_TG!$AC$2:$AC$1000,U23)=1,SUMIF(BASE_TG!$AC$2:$AC$1000,U23,BASE_TG!$AB$2:$AB$1000),"")</f>
        <v>7057.53</v>
      </c>
      <c r="AL23" s="55" t="str">
        <f>IF(OR(U23="",U23="-"),"SEM EMPENHO",IF(COUNTIF(BASE_TG!$AC$2:$AC$1000,U23)=0,"NÃO LOCALIZADO",IF(COUNTIF(BASE_TG!$AC$2:$AC$1000,U23)=1,"ATUALIZADO","DUPLICADO")))</f>
        <v>ATUALIZADO</v>
      </c>
    </row>
    <row r="24" ht="19.5" customHeight="1">
      <c r="A24" s="77" t="str">
        <f t="shared" si="24"/>
        <v>2019</v>
      </c>
      <c r="B24" s="78" t="s">
        <v>485</v>
      </c>
      <c r="C24" s="79" t="s">
        <v>486</v>
      </c>
      <c r="D24" s="79" t="s">
        <v>98</v>
      </c>
      <c r="E24" s="80" t="s">
        <v>487</v>
      </c>
      <c r="F24" s="81" t="s">
        <v>390</v>
      </c>
      <c r="G24" s="81" t="s">
        <v>489</v>
      </c>
      <c r="H24" s="90">
        <v>1.3487337487E10</v>
      </c>
      <c r="I24" s="84">
        <v>46361.0</v>
      </c>
      <c r="J24" s="84">
        <f t="shared" si="2"/>
        <v>46245</v>
      </c>
      <c r="K24" s="84" t="str">
        <f t="shared" si="3"/>
        <v>ATIVO</v>
      </c>
      <c r="L24" s="78" t="s">
        <v>333</v>
      </c>
      <c r="M24" s="79" t="s">
        <v>69</v>
      </c>
      <c r="N24" s="79">
        <v>230390.0</v>
      </c>
      <c r="O24" s="85">
        <v>1000.0</v>
      </c>
      <c r="P24" s="79">
        <v>339036.0</v>
      </c>
      <c r="Q24" s="79">
        <v>156789.0</v>
      </c>
      <c r="R24" s="79" t="s">
        <v>102</v>
      </c>
      <c r="S24" s="81" t="s">
        <v>181</v>
      </c>
      <c r="T24" s="81"/>
      <c r="U24" s="81" t="s">
        <v>187</v>
      </c>
      <c r="V24" s="81"/>
      <c r="W24" s="81"/>
      <c r="X24" s="81"/>
      <c r="Y24" s="81"/>
      <c r="Z24" s="81"/>
      <c r="AA24" s="79">
        <v>1.0</v>
      </c>
      <c r="AB24" s="87"/>
      <c r="AC24" s="87">
        <f>38794.38</f>
        <v>38794.38</v>
      </c>
      <c r="AD24" s="87">
        <f t="shared" ref="AD24:AD33" si="34">AC24*12</f>
        <v>465532.56</v>
      </c>
      <c r="AE24" s="88">
        <f>IF(COUNTIF(BASE_TG!$AC$2:$AC$1000,U24)=1,IF(AND(S24="SIM",ISNUMBER(AB24)),SUMIF(BASE_TG!$AC$2:$AC$1000,U24,BASE_TG!$AA$2:$AA$1000)*AB24,SUMIF(BASE_TG!$AC$2:$AC$1000,U24,BASE_TG!$AA$2:$AA$1000)),0)</f>
        <v>0</v>
      </c>
      <c r="AF24" s="88" t="str">
        <f t="shared" si="8"/>
        <v/>
      </c>
      <c r="AG24" s="89"/>
      <c r="AH24" s="89"/>
      <c r="AI24" s="87"/>
      <c r="AJ24" s="54"/>
      <c r="AK24" s="54" t="str">
        <f>IF(COUNTIF(BASE_TG!$AC$2:$AC$1000,U24)=1,SUMIF(BASE_TG!$AC$2:$AC$1000,U24,BASE_TG!$AB$2:$AB$1000),"")</f>
        <v/>
      </c>
      <c r="AL24" s="55" t="str">
        <f>IF(OR(U24="",U24="-"),"SEM EMPENHO",IF(COUNTIF(BASE_TG!$AC$2:$AC$1000,U24)=0,"NÃO LOCALIZADO",IF(COUNTIF(BASE_TG!$AC$2:$AC$1000,U24)=1,"ATUALIZADO","DUPLICADO")))</f>
        <v>SEM EMPENHO</v>
      </c>
    </row>
    <row r="25" ht="19.5" customHeight="1">
      <c r="A25" s="56" t="str">
        <f t="shared" si="24"/>
        <v>2023</v>
      </c>
      <c r="B25" s="46" t="s">
        <v>364</v>
      </c>
      <c r="C25" s="37" t="s">
        <v>509</v>
      </c>
      <c r="D25" s="37" t="s">
        <v>98</v>
      </c>
      <c r="E25" s="73" t="s">
        <v>365</v>
      </c>
      <c r="F25" s="40" t="s">
        <v>101</v>
      </c>
      <c r="G25" s="63" t="s">
        <v>513</v>
      </c>
      <c r="H25" s="43">
        <v>2.7284516000161E13</v>
      </c>
      <c r="I25" s="44">
        <v>46325.0</v>
      </c>
      <c r="J25" s="44">
        <f t="shared" si="2"/>
        <v>46245</v>
      </c>
      <c r="K25" s="44" t="str">
        <f t="shared" si="3"/>
        <v>ATIVO</v>
      </c>
      <c r="L25" s="46" t="s">
        <v>99</v>
      </c>
      <c r="M25" s="37" t="s">
        <v>69</v>
      </c>
      <c r="N25" s="37">
        <v>230390.0</v>
      </c>
      <c r="O25" s="47">
        <v>1000.0</v>
      </c>
      <c r="P25" s="37">
        <v>339030.0</v>
      </c>
      <c r="Q25" s="40">
        <v>157909.0</v>
      </c>
      <c r="R25" s="37" t="s">
        <v>102</v>
      </c>
      <c r="S25" s="40" t="s">
        <v>111</v>
      </c>
      <c r="T25" s="40"/>
      <c r="U25" s="40" t="s">
        <v>363</v>
      </c>
      <c r="V25" s="48">
        <f t="shared" ref="V25:W25" si="33">X25-Y25</f>
        <v>1.000271859</v>
      </c>
      <c r="W25" s="48">
        <f t="shared" si="33"/>
        <v>0.9408977224</v>
      </c>
      <c r="X25" s="48">
        <v>7.0</v>
      </c>
      <c r="Y25" s="48">
        <f t="shared" ref="Y25:Y31" si="36">AE25/AC25</f>
        <v>5.999728141</v>
      </c>
      <c r="Z25" s="48">
        <f t="shared" ref="Z25:Z31" si="37">(AE25-AF25)/AC25</f>
        <v>5.058830419</v>
      </c>
      <c r="AA25" s="37">
        <v>3.0</v>
      </c>
      <c r="AB25" s="49">
        <v>0.7209</v>
      </c>
      <c r="AC25" s="50">
        <f>5.88*13598</f>
        <v>79956.24</v>
      </c>
      <c r="AD25" s="51">
        <f t="shared" si="34"/>
        <v>959474.88</v>
      </c>
      <c r="AE25" s="51">
        <f>IF(COUNTIF(BASE_TG!$AC$2:$AC$1000,U25)=1,IF(AND(S25="SIM",ISNUMBER(AB25)),SUMIF(BASE_TG!$AC$2:$AC$1000,U25,BASE_TG!$AA$2:$AA$1000)*AB25,SUMIF(BASE_TG!$AC$2:$AC$1000,U25,BASE_TG!$AA$2:$AA$1000)),479737.44)</f>
        <v>479715.7032</v>
      </c>
      <c r="AF25" s="51">
        <f t="shared" si="8"/>
        <v>75230.6441</v>
      </c>
      <c r="AG25" s="52"/>
      <c r="AH25" s="53"/>
      <c r="AI25" s="51">
        <f t="shared" ref="AI25:AI31" si="38">AC25*AH25</f>
        <v>0</v>
      </c>
      <c r="AJ25" s="54"/>
      <c r="AK25" s="54">
        <f>IF(COUNTIF(BASE_TG!$AC$2:$AC$1000,U25)=1,SUMIF(BASE_TG!$AC$2:$AC$1000,U25,BASE_TG!$AB$2:$AB$1000),"")</f>
        <v>104356.56</v>
      </c>
      <c r="AL25" s="55" t="str">
        <f>IF(OR(U25="",U25="-"),"SEM EMPENHO",IF(COUNTIF(BASE_TG!$AC$2:$AC$1000,U25)=0,"NÃO LOCALIZADO",IF(COUNTIF(BASE_TG!$AC$2:$AC$1000,U25)=1,"ATUALIZADO","DUPLICADO")))</f>
        <v>ATUALIZADO</v>
      </c>
    </row>
    <row r="26" ht="19.5" customHeight="1">
      <c r="A26" s="56" t="str">
        <f t="shared" si="24"/>
        <v>2023</v>
      </c>
      <c r="B26" s="46" t="s">
        <v>364</v>
      </c>
      <c r="C26" s="37" t="s">
        <v>509</v>
      </c>
      <c r="D26" s="37" t="s">
        <v>98</v>
      </c>
      <c r="E26" s="73" t="s">
        <v>365</v>
      </c>
      <c r="F26" s="40" t="s">
        <v>101</v>
      </c>
      <c r="G26" s="63" t="s">
        <v>513</v>
      </c>
      <c r="H26" s="43">
        <v>2.7284516000161E13</v>
      </c>
      <c r="I26" s="44">
        <v>46325.0</v>
      </c>
      <c r="J26" s="44">
        <f t="shared" si="2"/>
        <v>46245</v>
      </c>
      <c r="K26" s="44" t="str">
        <f t="shared" si="3"/>
        <v>ATIVO</v>
      </c>
      <c r="L26" s="46" t="s">
        <v>99</v>
      </c>
      <c r="M26" s="37" t="s">
        <v>69</v>
      </c>
      <c r="N26" s="37">
        <v>230390.0</v>
      </c>
      <c r="O26" s="47">
        <v>1000.0</v>
      </c>
      <c r="P26" s="37">
        <v>339030.0</v>
      </c>
      <c r="Q26" s="40">
        <v>157909.0</v>
      </c>
      <c r="R26" s="37" t="s">
        <v>102</v>
      </c>
      <c r="S26" s="40" t="s">
        <v>111</v>
      </c>
      <c r="T26" s="40"/>
      <c r="U26" s="40" t="s">
        <v>363</v>
      </c>
      <c r="V26" s="48">
        <f t="shared" ref="V26:W26" si="35">X26-Y26</f>
        <v>1.000458169</v>
      </c>
      <c r="W26" s="48">
        <f t="shared" si="35"/>
        <v>0.9408685045</v>
      </c>
      <c r="X26" s="48">
        <v>7.0</v>
      </c>
      <c r="Y26" s="48">
        <f t="shared" si="36"/>
        <v>5.999541831</v>
      </c>
      <c r="Z26" s="48">
        <f t="shared" si="37"/>
        <v>5.058673326</v>
      </c>
      <c r="AA26" s="37">
        <v>1.0</v>
      </c>
      <c r="AB26" s="49">
        <v>0.2464</v>
      </c>
      <c r="AC26" s="50">
        <f>6.033*4530</f>
        <v>27329.49</v>
      </c>
      <c r="AD26" s="51">
        <f t="shared" si="34"/>
        <v>327953.88</v>
      </c>
      <c r="AE26" s="51">
        <f>IF(COUNTIF(BASE_TG!$AC$2:$AC$1000,U26)=1,IF(AND(S26="SIM",ISNUMBER(AB26)),SUMIF(BASE_TG!$AC$2:$AC$1000,U26,BASE_TG!$AA$2:$AA$1000)*AB26,SUMIF(BASE_TG!$AC$2:$AC$1000,U26,BASE_TG!$AA$2:$AA$1000)),163976.94)</f>
        <v>163964.4185</v>
      </c>
      <c r="AF26" s="51">
        <f t="shared" si="8"/>
        <v>25713.45638</v>
      </c>
      <c r="AG26" s="52"/>
      <c r="AH26" s="53"/>
      <c r="AI26" s="51">
        <f t="shared" si="38"/>
        <v>0</v>
      </c>
      <c r="AJ26" s="54"/>
      <c r="AK26" s="54">
        <f>IF(COUNTIF(BASE_TG!$AC$2:$AC$1000,U26)=1,SUMIF(BASE_TG!$AC$2:$AC$1000,U26,BASE_TG!$AB$2:$AB$1000),"")</f>
        <v>104356.56</v>
      </c>
      <c r="AL26" s="55" t="str">
        <f>IF(OR(U26="",U26="-"),"SEM EMPENHO",IF(COUNTIF(BASE_TG!$AC$2:$AC$1000,U26)=0,"NÃO LOCALIZADO",IF(COUNTIF(BASE_TG!$AC$2:$AC$1000,U26)=1,"ATUALIZADO","DUPLICADO")))</f>
        <v>ATUALIZADO</v>
      </c>
    </row>
    <row r="27" ht="19.5" customHeight="1">
      <c r="A27" s="56" t="str">
        <f t="shared" si="24"/>
        <v>2023</v>
      </c>
      <c r="B27" s="46" t="s">
        <v>364</v>
      </c>
      <c r="C27" s="37" t="s">
        <v>509</v>
      </c>
      <c r="D27" s="37" t="s">
        <v>98</v>
      </c>
      <c r="E27" s="73" t="s">
        <v>365</v>
      </c>
      <c r="F27" s="40" t="s">
        <v>101</v>
      </c>
      <c r="G27" s="63" t="s">
        <v>513</v>
      </c>
      <c r="H27" s="43">
        <v>2.7284516000161E13</v>
      </c>
      <c r="I27" s="44">
        <v>46325.0</v>
      </c>
      <c r="J27" s="44">
        <f t="shared" si="2"/>
        <v>46245</v>
      </c>
      <c r="K27" s="44" t="str">
        <f t="shared" si="3"/>
        <v>ATIVO</v>
      </c>
      <c r="L27" s="46" t="s">
        <v>99</v>
      </c>
      <c r="M27" s="37" t="s">
        <v>69</v>
      </c>
      <c r="N27" s="37">
        <v>230390.0</v>
      </c>
      <c r="O27" s="47">
        <v>1000.0</v>
      </c>
      <c r="P27" s="37">
        <v>339030.0</v>
      </c>
      <c r="Q27" s="40">
        <v>157909.0</v>
      </c>
      <c r="R27" s="37" t="s">
        <v>102</v>
      </c>
      <c r="S27" s="40" t="s">
        <v>111</v>
      </c>
      <c r="T27" s="40"/>
      <c r="U27" s="40" t="s">
        <v>363</v>
      </c>
      <c r="V27" s="48">
        <f t="shared" ref="V27:W27" si="39">X27-Y27</f>
        <v>0.9928494873</v>
      </c>
      <c r="W27" s="48">
        <f t="shared" si="39"/>
        <v>0.9420617238</v>
      </c>
      <c r="X27" s="48">
        <v>7.0</v>
      </c>
      <c r="Y27" s="48">
        <f t="shared" si="36"/>
        <v>6.007150513</v>
      </c>
      <c r="Z27" s="48">
        <f t="shared" si="37"/>
        <v>5.065088789</v>
      </c>
      <c r="AA27" s="37">
        <v>6.0</v>
      </c>
      <c r="AB27" s="49">
        <v>0.0187</v>
      </c>
      <c r="AC27" s="50">
        <f>103.5743*20</f>
        <v>2071.486</v>
      </c>
      <c r="AD27" s="51">
        <f t="shared" si="34"/>
        <v>24857.832</v>
      </c>
      <c r="AE27" s="51">
        <f>IF(COUNTIF(BASE_TG!$AC$2:$AC$1000,U27)=1,IF(AND(S27="SIM",ISNUMBER(AB27)),SUMIF(BASE_TG!$AC$2:$AC$1000,U27,BASE_TG!$AA$2:$AA$1000)*AB27,SUMIF(BASE_TG!$AC$2:$AC$1000,U27,BASE_TG!$AA$2:$AA$1000)),12428.916)</f>
        <v>12443.72819</v>
      </c>
      <c r="AF27" s="51">
        <f t="shared" si="8"/>
        <v>1951.467672</v>
      </c>
      <c r="AG27" s="52"/>
      <c r="AH27" s="53"/>
      <c r="AI27" s="51">
        <f t="shared" si="38"/>
        <v>0</v>
      </c>
      <c r="AJ27" s="54"/>
      <c r="AK27" s="54">
        <f>IF(COUNTIF(BASE_TG!$AC$2:$AC$1000,U27)=1,SUMIF(BASE_TG!$AC$2:$AC$1000,U27,BASE_TG!$AB$2:$AB$1000),"")</f>
        <v>104356.56</v>
      </c>
      <c r="AL27" s="55" t="str">
        <f>IF(OR(U27="",U27="-"),"SEM EMPENHO",IF(COUNTIF(BASE_TG!$AC$2:$AC$1000,U27)=0,"NÃO LOCALIZADO",IF(COUNTIF(BASE_TG!$AC$2:$AC$1000,U27)=1,"ATUALIZADO","DUPLICADO")))</f>
        <v>ATUALIZADO</v>
      </c>
    </row>
    <row r="28" ht="19.5" customHeight="1">
      <c r="A28" s="56" t="str">
        <f t="shared" si="24"/>
        <v>2023</v>
      </c>
      <c r="B28" s="46" t="s">
        <v>364</v>
      </c>
      <c r="C28" s="37" t="s">
        <v>509</v>
      </c>
      <c r="D28" s="37" t="s">
        <v>98</v>
      </c>
      <c r="E28" s="73" t="s">
        <v>365</v>
      </c>
      <c r="F28" s="40" t="s">
        <v>101</v>
      </c>
      <c r="G28" s="63" t="s">
        <v>513</v>
      </c>
      <c r="H28" s="43">
        <v>2.7284516000161E13</v>
      </c>
      <c r="I28" s="44">
        <v>46325.0</v>
      </c>
      <c r="J28" s="44">
        <f t="shared" si="2"/>
        <v>46245</v>
      </c>
      <c r="K28" s="44" t="str">
        <f t="shared" si="3"/>
        <v>ATIVO</v>
      </c>
      <c r="L28" s="46" t="s">
        <v>99</v>
      </c>
      <c r="M28" s="37" t="s">
        <v>69</v>
      </c>
      <c r="N28" s="37">
        <v>230390.0</v>
      </c>
      <c r="O28" s="47">
        <v>1000.0</v>
      </c>
      <c r="P28" s="37">
        <v>339030.0</v>
      </c>
      <c r="Q28" s="40">
        <v>157909.0</v>
      </c>
      <c r="R28" s="37" t="s">
        <v>102</v>
      </c>
      <c r="S28" s="40" t="s">
        <v>111</v>
      </c>
      <c r="T28" s="40"/>
      <c r="U28" s="40" t="s">
        <v>363</v>
      </c>
      <c r="V28" s="48">
        <f t="shared" ref="V28:W28" si="40">X28-Y28</f>
        <v>1.021406565</v>
      </c>
      <c r="W28" s="48">
        <f t="shared" si="40"/>
        <v>0.9375833059</v>
      </c>
      <c r="X28" s="48">
        <v>7.0</v>
      </c>
      <c r="Y28" s="48">
        <f t="shared" si="36"/>
        <v>5.978593435</v>
      </c>
      <c r="Z28" s="48">
        <f t="shared" si="37"/>
        <v>5.041010129</v>
      </c>
      <c r="AA28" s="37">
        <v>4.0</v>
      </c>
      <c r="AB28" s="49">
        <v>0.0053</v>
      </c>
      <c r="AC28" s="50">
        <f>5.8991*100</f>
        <v>589.91</v>
      </c>
      <c r="AD28" s="51">
        <f t="shared" si="34"/>
        <v>7078.92</v>
      </c>
      <c r="AE28" s="51">
        <f>IF(COUNTIF(BASE_TG!$AC$2:$AC$1000,U28)=1,IF(AND(S28="SIM",ISNUMBER(AB28)),SUMIF(BASE_TG!$AC$2:$AC$1000,U28,BASE_TG!$AA$2:$AA$1000)*AB28,SUMIF(BASE_TG!$AC$2:$AC$1000,U28,BASE_TG!$AA$2:$AA$1000)),3539.46)</f>
        <v>3526.832053</v>
      </c>
      <c r="AF28" s="51">
        <f t="shared" si="8"/>
        <v>553.089768</v>
      </c>
      <c r="AG28" s="52"/>
      <c r="AH28" s="53"/>
      <c r="AI28" s="51">
        <f t="shared" si="38"/>
        <v>0</v>
      </c>
      <c r="AJ28" s="54"/>
      <c r="AK28" s="54">
        <f>IF(COUNTIF(BASE_TG!$AC$2:$AC$1000,U28)=1,SUMIF(BASE_TG!$AC$2:$AC$1000,U28,BASE_TG!$AB$2:$AB$1000),"")</f>
        <v>104356.56</v>
      </c>
      <c r="AL28" s="55" t="str">
        <f>IF(OR(U28="",U28="-"),"SEM EMPENHO",IF(COUNTIF(BASE_TG!$AC$2:$AC$1000,U28)=0,"NÃO LOCALIZADO",IF(COUNTIF(BASE_TG!$AC$2:$AC$1000,U28)=1,"ATUALIZADO","DUPLICADO")))</f>
        <v>ATUALIZADO</v>
      </c>
    </row>
    <row r="29" ht="19.5" customHeight="1">
      <c r="A29" s="56" t="str">
        <f t="shared" si="24"/>
        <v>2023</v>
      </c>
      <c r="B29" s="46" t="s">
        <v>364</v>
      </c>
      <c r="C29" s="37" t="s">
        <v>509</v>
      </c>
      <c r="D29" s="37" t="s">
        <v>98</v>
      </c>
      <c r="E29" s="73" t="s">
        <v>365</v>
      </c>
      <c r="F29" s="40" t="s">
        <v>101</v>
      </c>
      <c r="G29" s="63" t="s">
        <v>513</v>
      </c>
      <c r="H29" s="43">
        <v>2.7284516000161E13</v>
      </c>
      <c r="I29" s="44">
        <v>46325.0</v>
      </c>
      <c r="J29" s="44">
        <f t="shared" si="2"/>
        <v>46245</v>
      </c>
      <c r="K29" s="44" t="str">
        <f t="shared" si="3"/>
        <v>ATIVO</v>
      </c>
      <c r="L29" s="46" t="s">
        <v>99</v>
      </c>
      <c r="M29" s="37" t="s">
        <v>69</v>
      </c>
      <c r="N29" s="37">
        <v>230390.0</v>
      </c>
      <c r="O29" s="47">
        <v>1000.0</v>
      </c>
      <c r="P29" s="37">
        <v>339030.0</v>
      </c>
      <c r="Q29" s="40">
        <v>157909.0</v>
      </c>
      <c r="R29" s="37" t="s">
        <v>102</v>
      </c>
      <c r="S29" s="40" t="s">
        <v>111</v>
      </c>
      <c r="T29" s="40"/>
      <c r="U29" s="40" t="s">
        <v>363</v>
      </c>
      <c r="V29" s="48">
        <f t="shared" ref="V29:W29" si="41">X29-Y29</f>
        <v>0.9490784736</v>
      </c>
      <c r="W29" s="48">
        <f t="shared" si="41"/>
        <v>0.9489260427</v>
      </c>
      <c r="X29" s="48">
        <v>7.0</v>
      </c>
      <c r="Y29" s="48">
        <f t="shared" si="36"/>
        <v>6.050921526</v>
      </c>
      <c r="Z29" s="48">
        <f t="shared" si="37"/>
        <v>5.101995484</v>
      </c>
      <c r="AA29" s="37">
        <v>2.0</v>
      </c>
      <c r="AB29" s="49">
        <v>0.0045</v>
      </c>
      <c r="AC29" s="50">
        <f>6.186*80</f>
        <v>494.88</v>
      </c>
      <c r="AD29" s="51">
        <f t="shared" si="34"/>
        <v>5938.56</v>
      </c>
      <c r="AE29" s="51">
        <f>IF(COUNTIF(BASE_TG!$AC$2:$AC$1000,U29)=1,IF(AND(S29="SIM",ISNUMBER(AB29)),SUMIF(BASE_TG!$AC$2:$AC$1000,U29,BASE_TG!$AA$2:$AA$1000)*AB29,SUMIF(BASE_TG!$AC$2:$AC$1000,U29,BASE_TG!$AA$2:$AA$1000)),2969.28)</f>
        <v>2994.480045</v>
      </c>
      <c r="AF29" s="51">
        <f t="shared" si="8"/>
        <v>469.60452</v>
      </c>
      <c r="AG29" s="52"/>
      <c r="AH29" s="53"/>
      <c r="AI29" s="51">
        <f t="shared" si="38"/>
        <v>0</v>
      </c>
      <c r="AJ29" s="54"/>
      <c r="AK29" s="54">
        <f>IF(COUNTIF(BASE_TG!$AC$2:$AC$1000,U29)=1,SUMIF(BASE_TG!$AC$2:$AC$1000,U29,BASE_TG!$AB$2:$AB$1000),"")</f>
        <v>104356.56</v>
      </c>
      <c r="AL29" s="55" t="str">
        <f>IF(OR(U29="",U29="-"),"SEM EMPENHO",IF(COUNTIF(BASE_TG!$AC$2:$AC$1000,U29)=0,"NÃO LOCALIZADO",IF(COUNTIF(BASE_TG!$AC$2:$AC$1000,U29)=1,"ATUALIZADO","DUPLICADO")))</f>
        <v>ATUALIZADO</v>
      </c>
    </row>
    <row r="30" ht="19.5" customHeight="1">
      <c r="A30" s="56" t="str">
        <f t="shared" si="24"/>
        <v>2023</v>
      </c>
      <c r="B30" s="46" t="s">
        <v>364</v>
      </c>
      <c r="C30" s="37" t="s">
        <v>509</v>
      </c>
      <c r="D30" s="37" t="s">
        <v>98</v>
      </c>
      <c r="E30" s="73" t="s">
        <v>365</v>
      </c>
      <c r="F30" s="40" t="s">
        <v>101</v>
      </c>
      <c r="G30" s="63" t="s">
        <v>513</v>
      </c>
      <c r="H30" s="43">
        <v>2.7284516000161E13</v>
      </c>
      <c r="I30" s="44">
        <v>46325.0</v>
      </c>
      <c r="J30" s="44">
        <f t="shared" si="2"/>
        <v>46245</v>
      </c>
      <c r="K30" s="44" t="str">
        <f t="shared" si="3"/>
        <v>ATIVO</v>
      </c>
      <c r="L30" s="46" t="s">
        <v>99</v>
      </c>
      <c r="M30" s="37" t="s">
        <v>69</v>
      </c>
      <c r="N30" s="37">
        <v>230390.0</v>
      </c>
      <c r="O30" s="47">
        <v>1000.0</v>
      </c>
      <c r="P30" s="37">
        <v>339030.0</v>
      </c>
      <c r="Q30" s="40">
        <v>157909.0</v>
      </c>
      <c r="R30" s="37" t="s">
        <v>102</v>
      </c>
      <c r="S30" s="40" t="s">
        <v>111</v>
      </c>
      <c r="T30" s="40"/>
      <c r="U30" s="40" t="s">
        <v>363</v>
      </c>
      <c r="V30" s="48">
        <f t="shared" ref="V30:W30" si="42">X30-Y30</f>
        <v>0.9851761675</v>
      </c>
      <c r="W30" s="48">
        <f t="shared" si="42"/>
        <v>0.9432650798</v>
      </c>
      <c r="X30" s="48">
        <v>7.0</v>
      </c>
      <c r="Y30" s="48">
        <f t="shared" si="36"/>
        <v>6.014823832</v>
      </c>
      <c r="Z30" s="48">
        <f t="shared" si="37"/>
        <v>5.071558753</v>
      </c>
      <c r="AA30" s="37">
        <v>5.0</v>
      </c>
      <c r="AB30" s="49">
        <v>0.0042</v>
      </c>
      <c r="AC30" s="96">
        <f>4.6466*100</f>
        <v>464.66</v>
      </c>
      <c r="AD30" s="97">
        <f t="shared" si="34"/>
        <v>5575.92</v>
      </c>
      <c r="AE30" s="51">
        <f>IF(COUNTIF(BASE_TG!$AC$2:$AC$1000,U30)=1,IF(AND(S30="SIM",ISNUMBER(AB30)),SUMIF(BASE_TG!$AC$2:$AC$1000,U30,BASE_TG!$AA$2:$AA$1000)*AB30,SUMIF(BASE_TG!$AC$2:$AC$1000,U30,BASE_TG!$AA$2:$AA$1000)),2787.96)</f>
        <v>2794.848042</v>
      </c>
      <c r="AF30" s="51">
        <f t="shared" si="8"/>
        <v>438.297552</v>
      </c>
      <c r="AG30" s="52"/>
      <c r="AH30" s="53"/>
      <c r="AI30" s="51">
        <f t="shared" si="38"/>
        <v>0</v>
      </c>
      <c r="AJ30" s="54"/>
      <c r="AK30" s="54">
        <f>IF(COUNTIF(BASE_TG!$AC$2:$AC$1000,U30)=1,SUMIF(BASE_TG!$AC$2:$AC$1000,U30,BASE_TG!$AB$2:$AB$1000),"")</f>
        <v>104356.56</v>
      </c>
      <c r="AL30" s="55" t="str">
        <f>IF(OR(U30="",U30="-"),"SEM EMPENHO",IF(COUNTIF(BASE_TG!$AC$2:$AC$1000,U30)=0,"NÃO LOCALIZADO",IF(COUNTIF(BASE_TG!$AC$2:$AC$1000,U30)=1,"ATUALIZADO","DUPLICADO")))</f>
        <v>ATUALIZADO</v>
      </c>
    </row>
    <row r="31" ht="19.5" customHeight="1">
      <c r="A31" s="56" t="str">
        <f t="shared" si="24"/>
        <v>2021</v>
      </c>
      <c r="B31" s="46" t="s">
        <v>379</v>
      </c>
      <c r="C31" s="35" t="s">
        <v>580</v>
      </c>
      <c r="D31" s="37" t="s">
        <v>98</v>
      </c>
      <c r="E31" s="62" t="s">
        <v>380</v>
      </c>
      <c r="F31" s="40" t="s">
        <v>101</v>
      </c>
      <c r="G31" s="98" t="s">
        <v>581</v>
      </c>
      <c r="H31" s="43">
        <v>8.7883807000106E13</v>
      </c>
      <c r="I31" s="44">
        <v>46377.0</v>
      </c>
      <c r="J31" s="44">
        <f t="shared" si="2"/>
        <v>46245</v>
      </c>
      <c r="K31" s="44" t="str">
        <f t="shared" si="3"/>
        <v>ATIVO</v>
      </c>
      <c r="L31" s="46" t="s">
        <v>582</v>
      </c>
      <c r="M31" s="37" t="s">
        <v>69</v>
      </c>
      <c r="N31" s="37">
        <v>230390.0</v>
      </c>
      <c r="O31" s="47">
        <v>1000.0</v>
      </c>
      <c r="P31" s="40">
        <v>339039.0</v>
      </c>
      <c r="Q31" s="37">
        <v>157684.0</v>
      </c>
      <c r="R31" s="37" t="s">
        <v>340</v>
      </c>
      <c r="S31" s="40" t="s">
        <v>181</v>
      </c>
      <c r="T31" s="40"/>
      <c r="U31" s="40" t="s">
        <v>378</v>
      </c>
      <c r="V31" s="48">
        <f t="shared" ref="V31:W31" si="43">X31-Y31</f>
        <v>0</v>
      </c>
      <c r="W31" s="48">
        <f t="shared" si="43"/>
        <v>0.5737142857</v>
      </c>
      <c r="X31" s="48">
        <v>7.0</v>
      </c>
      <c r="Y31" s="48">
        <f t="shared" si="36"/>
        <v>7</v>
      </c>
      <c r="Z31" s="48">
        <f t="shared" si="37"/>
        <v>6.426285714</v>
      </c>
      <c r="AA31" s="37">
        <v>1.0</v>
      </c>
      <c r="AB31" s="64" t="s">
        <v>187</v>
      </c>
      <c r="AC31" s="51">
        <f>(0.35*2500)*0.7</f>
        <v>612.5</v>
      </c>
      <c r="AD31" s="51">
        <f t="shared" si="34"/>
        <v>7350</v>
      </c>
      <c r="AE31" s="51">
        <f>IF(COUNTIF(BASE_TG!$AC$2:$AC$1000,U31)=1,IF(AND(S31="SIM",ISNUMBER(AB31)),SUMIF(BASE_TG!$AC$2:$AC$1000,U31,BASE_TG!$AA$2:$AA$1000)*AB31,SUMIF(BASE_TG!$AC$2:$AC$1000,U31,BASE_TG!$AA$2:$AA$1000)),3675)</f>
        <v>4287.5</v>
      </c>
      <c r="AF31" s="51">
        <f t="shared" si="8"/>
        <v>351.4</v>
      </c>
      <c r="AG31" s="100"/>
      <c r="AH31" s="53"/>
      <c r="AI31" s="51">
        <f t="shared" si="38"/>
        <v>0</v>
      </c>
      <c r="AJ31" s="54"/>
      <c r="AK31" s="54">
        <f>IF(COUNTIF(BASE_TG!$AC$2:$AC$1000,U31)=1,SUMIF(BASE_TG!$AC$2:$AC$1000,U31,BASE_TG!$AB$2:$AB$1000),"")</f>
        <v>351.4</v>
      </c>
      <c r="AL31" s="55" t="str">
        <f>IF(OR(U31="",U31="-"),"SEM EMPENHO",IF(COUNTIF(BASE_TG!$AC$2:$AC$1000,U31)=0,"NÃO LOCALIZADO",IF(COUNTIF(BASE_TG!$AC$2:$AC$1000,U31)=1,"ATUALIZADO","DUPLICADO")))</f>
        <v>ATUALIZADO</v>
      </c>
    </row>
    <row r="32" ht="19.5" customHeight="1">
      <c r="A32" s="77" t="str">
        <f t="shared" si="24"/>
        <v>2025</v>
      </c>
      <c r="B32" s="78" t="s">
        <v>587</v>
      </c>
      <c r="C32" s="79" t="s">
        <v>588</v>
      </c>
      <c r="D32" s="79" t="s">
        <v>98</v>
      </c>
      <c r="E32" s="101" t="s">
        <v>589</v>
      </c>
      <c r="F32" s="81" t="s">
        <v>390</v>
      </c>
      <c r="G32" s="102" t="s">
        <v>103</v>
      </c>
      <c r="H32" s="103">
        <v>1.3183749000163E13</v>
      </c>
      <c r="I32" s="84">
        <v>46293.0</v>
      </c>
      <c r="J32" s="84">
        <f t="shared" si="2"/>
        <v>46245</v>
      </c>
      <c r="K32" s="84" t="str">
        <f t="shared" si="3"/>
        <v>ATIVO</v>
      </c>
      <c r="L32" s="78" t="s">
        <v>109</v>
      </c>
      <c r="M32" s="79" t="s">
        <v>69</v>
      </c>
      <c r="N32" s="79">
        <v>230390.0</v>
      </c>
      <c r="O32" s="85">
        <v>1000.0</v>
      </c>
      <c r="P32" s="81">
        <v>339040.0</v>
      </c>
      <c r="Q32" s="79">
        <v>157842.0</v>
      </c>
      <c r="R32" s="79" t="s">
        <v>82</v>
      </c>
      <c r="S32" s="81" t="s">
        <v>181</v>
      </c>
      <c r="T32" s="104"/>
      <c r="U32" s="81" t="s">
        <v>187</v>
      </c>
      <c r="V32" s="81"/>
      <c r="W32" s="81"/>
      <c r="X32" s="81"/>
      <c r="Y32" s="81"/>
      <c r="Z32" s="81"/>
      <c r="AA32" s="79">
        <v>1.0</v>
      </c>
      <c r="AB32" s="87"/>
      <c r="AC32" s="87">
        <v>31200.0</v>
      </c>
      <c r="AD32" s="87">
        <f t="shared" si="34"/>
        <v>374400</v>
      </c>
      <c r="AE32" s="87">
        <f>IF(COUNTIF(BASE_TG!$AC$2:$AC$1000,U32)=1,IF(AND(S32="SIM",ISNUMBER(AB32)),SUMIF(BASE_TG!$AC$2:$AC$1000,U32,BASE_TG!$AA$2:$AA$1000)*AB32,SUMIF(BASE_TG!$AC$2:$AC$1000,U32,BASE_TG!$AA$2:$AA$1000)),0)</f>
        <v>0</v>
      </c>
      <c r="AF32" s="87" t="str">
        <f t="shared" si="8"/>
        <v/>
      </c>
      <c r="AG32" s="105"/>
      <c r="AH32" s="89"/>
      <c r="AI32" s="87"/>
      <c r="AJ32" s="54"/>
      <c r="AK32" s="54" t="str">
        <f>IF(COUNTIF(BASE_TG!$AC$2:$AC$1000,U32)=1,SUMIF(BASE_TG!$AC$2:$AC$1000,U32,BASE_TG!$AB$2:$AB$1000),"")</f>
        <v/>
      </c>
      <c r="AL32" s="55" t="str">
        <f>IF(OR(U32="",U32="-"),"SEM EMPENHO",IF(COUNTIF(BASE_TG!$AC$2:$AC$1000,U32)=0,"NÃO LOCALIZADO",IF(COUNTIF(BASE_TG!$AC$2:$AC$1000,U32)=1,"ATUALIZADO","DUPLICADO")))</f>
        <v>SEM EMPENHO</v>
      </c>
    </row>
    <row r="33" ht="19.5" customHeight="1">
      <c r="A33" s="56" t="str">
        <f t="shared" si="24"/>
        <v>2025</v>
      </c>
      <c r="B33" s="46" t="s">
        <v>388</v>
      </c>
      <c r="C33" s="37" t="s">
        <v>590</v>
      </c>
      <c r="D33" s="37" t="s">
        <v>98</v>
      </c>
      <c r="E33" s="73" t="s">
        <v>389</v>
      </c>
      <c r="F33" s="40" t="s">
        <v>101</v>
      </c>
      <c r="G33" s="40" t="s">
        <v>591</v>
      </c>
      <c r="H33" s="43">
        <v>2.4201145000119E13</v>
      </c>
      <c r="I33" s="44">
        <v>46235.0</v>
      </c>
      <c r="J33" s="44">
        <f t="shared" si="2"/>
        <v>46245</v>
      </c>
      <c r="K33" s="44" t="str">
        <f t="shared" si="3"/>
        <v>VENCIDO</v>
      </c>
      <c r="L33" s="37" t="s">
        <v>180</v>
      </c>
      <c r="M33" s="37" t="s">
        <v>69</v>
      </c>
      <c r="N33" s="37">
        <v>230390.0</v>
      </c>
      <c r="O33" s="47">
        <v>1000.0</v>
      </c>
      <c r="P33" s="37">
        <v>339039.0</v>
      </c>
      <c r="Q33" s="37">
        <v>157658.0</v>
      </c>
      <c r="R33" s="37" t="s">
        <v>122</v>
      </c>
      <c r="S33" s="40" t="s">
        <v>181</v>
      </c>
      <c r="T33" s="40"/>
      <c r="U33" s="40" t="s">
        <v>387</v>
      </c>
      <c r="V33" s="48">
        <f t="shared" ref="V33:W33" si="44">X33-Y33</f>
        <v>1</v>
      </c>
      <c r="W33" s="48">
        <f t="shared" si="44"/>
        <v>1.661194315</v>
      </c>
      <c r="X33" s="48">
        <v>7.0</v>
      </c>
      <c r="Y33" s="48">
        <f t="shared" ref="Y33:Y42" si="46">AE33/AC33</f>
        <v>6</v>
      </c>
      <c r="Z33" s="48">
        <f t="shared" ref="Z33:Z42" si="47">(AE33-AF33)/AC33</f>
        <v>4.338805685</v>
      </c>
      <c r="AA33" s="37">
        <v>1.0</v>
      </c>
      <c r="AB33" s="68" t="s">
        <v>187</v>
      </c>
      <c r="AC33" s="65">
        <v>88062.69</v>
      </c>
      <c r="AD33" s="51">
        <f t="shared" si="34"/>
        <v>1056752.28</v>
      </c>
      <c r="AE33" s="51">
        <f>IF(COUNTIF(BASE_TG!$AC$2:$AC$1000,U33)=1,IF(AND(S33="SIM",ISNUMBER(AB33)),SUMIF(BASE_TG!$AC$2:$AC$1000,U33,BASE_TG!$AA$2:$AA$1000)*AB33,SUMIF(BASE_TG!$AC$2:$AC$1000,U33,BASE_TG!$AA$2:$AA$1000)),528376.14)</f>
        <v>528376.14</v>
      </c>
      <c r="AF33" s="51">
        <f t="shared" si="8"/>
        <v>146289.24</v>
      </c>
      <c r="AG33" s="106"/>
      <c r="AH33" s="53"/>
      <c r="AI33" s="51">
        <f t="shared" ref="AI33:AI38" si="48">AC33*AH33</f>
        <v>0</v>
      </c>
      <c r="AJ33" s="54"/>
      <c r="AK33" s="54">
        <f>IF(COUNTIF(BASE_TG!$AC$2:$AC$1000,U33)=1,SUMIF(BASE_TG!$AC$2:$AC$1000,U33,BASE_TG!$AB$2:$AB$1000),"")</f>
        <v>146289.24</v>
      </c>
      <c r="AL33" s="55" t="str">
        <f>IF(OR(U33="",U33="-"),"SEM EMPENHO",IF(COUNTIF(BASE_TG!$AC$2:$AC$1000,U33)=0,"NÃO LOCALIZADO",IF(COUNTIF(BASE_TG!$AC$2:$AC$1000,U33)=1,"ATUALIZADO","DUPLICADO")))</f>
        <v>ATUALIZADO</v>
      </c>
    </row>
    <row r="34" ht="19.5" customHeight="1">
      <c r="A34" s="56">
        <v>2026.0</v>
      </c>
      <c r="B34" s="34" t="s">
        <v>397</v>
      </c>
      <c r="C34" s="37" t="s">
        <v>592</v>
      </c>
      <c r="D34" s="37" t="s">
        <v>98</v>
      </c>
      <c r="E34" s="38" t="s">
        <v>398</v>
      </c>
      <c r="F34" s="40" t="s">
        <v>101</v>
      </c>
      <c r="G34" s="41" t="s">
        <v>593</v>
      </c>
      <c r="H34" s="43">
        <v>7.6535764000143E13</v>
      </c>
      <c r="I34" s="44">
        <v>46438.0</v>
      </c>
      <c r="J34" s="44">
        <f t="shared" si="2"/>
        <v>46245</v>
      </c>
      <c r="K34" s="44" t="str">
        <f t="shared" si="3"/>
        <v>ATIVO</v>
      </c>
      <c r="L34" s="46" t="s">
        <v>99</v>
      </c>
      <c r="M34" s="37" t="s">
        <v>69</v>
      </c>
      <c r="N34" s="37">
        <v>230390.0</v>
      </c>
      <c r="O34" s="47">
        <v>1000.0</v>
      </c>
      <c r="P34" s="37">
        <v>339039.0</v>
      </c>
      <c r="Q34" s="37">
        <v>157909.0</v>
      </c>
      <c r="R34" s="37" t="s">
        <v>102</v>
      </c>
      <c r="S34" s="40" t="s">
        <v>111</v>
      </c>
      <c r="T34" s="40"/>
      <c r="U34" s="40" t="s">
        <v>396</v>
      </c>
      <c r="V34" s="48">
        <f t="shared" ref="V34:W34" si="45">X34-Y34</f>
        <v>3.102351586</v>
      </c>
      <c r="W34" s="48">
        <f t="shared" si="45"/>
        <v>3.454336965</v>
      </c>
      <c r="X34" s="48">
        <v>7.0</v>
      </c>
      <c r="Y34" s="48">
        <f t="shared" si="46"/>
        <v>3.897648414</v>
      </c>
      <c r="Z34" s="48">
        <f t="shared" si="47"/>
        <v>0.4433114491</v>
      </c>
      <c r="AA34" s="37">
        <v>5.0</v>
      </c>
      <c r="AB34" s="49">
        <v>0.4204</v>
      </c>
      <c r="AC34" s="51">
        <v>2396.0</v>
      </c>
      <c r="AD34" s="51">
        <v>28752.0</v>
      </c>
      <c r="AE34" s="51">
        <f>IF(COUNTIF(BASE_TG!$AC$2:$AC$1000,U34)=1,IF(AND(S34="SIM",ISNUMBER(AB34)),SUMIF(BASE_TG!$AC$2:$AC$1000,U34,BASE_TG!$AA$2:$AA$1000)*AB34,SUMIF(BASE_TG!$AC$2:$AC$1000,U34,BASE_TG!$AA$2:$AA$1000)),14376)</f>
        <v>9338.7656</v>
      </c>
      <c r="AF34" s="51">
        <f t="shared" si="8"/>
        <v>8276.591368</v>
      </c>
      <c r="AG34" s="106"/>
      <c r="AH34" s="53"/>
      <c r="AI34" s="51">
        <f t="shared" si="48"/>
        <v>0</v>
      </c>
      <c r="AJ34" s="54"/>
      <c r="AK34" s="54">
        <f>IF(COUNTIF(BASE_TG!$AC$2:$AC$1000,U34)=1,SUMIF(BASE_TG!$AC$2:$AC$1000,U34,BASE_TG!$AB$2:$AB$1000),"")</f>
        <v>19687.42</v>
      </c>
      <c r="AL34" s="55" t="str">
        <f>IF(OR(U34="",U34="-"),"SEM EMPENHO",IF(COUNTIF(BASE_TG!$AC$2:$AC$1000,U34)=0,"NÃO LOCALIZADO",IF(COUNTIF(BASE_TG!$AC$2:$AC$1000,U34)=1,"ATUALIZADO","DUPLICADO")))</f>
        <v>ATUALIZADO</v>
      </c>
    </row>
    <row r="35" ht="19.5" customHeight="1">
      <c r="A35" s="56">
        <v>2026.0</v>
      </c>
      <c r="B35" s="34" t="s">
        <v>397</v>
      </c>
      <c r="C35" s="37" t="s">
        <v>592</v>
      </c>
      <c r="D35" s="37" t="s">
        <v>98</v>
      </c>
      <c r="E35" s="38" t="s">
        <v>398</v>
      </c>
      <c r="F35" s="40" t="s">
        <v>101</v>
      </c>
      <c r="G35" s="41" t="s">
        <v>593</v>
      </c>
      <c r="H35" s="43">
        <v>7.6535764000143E13</v>
      </c>
      <c r="I35" s="44">
        <v>46438.0</v>
      </c>
      <c r="J35" s="44">
        <f t="shared" si="2"/>
        <v>46245</v>
      </c>
      <c r="K35" s="44" t="str">
        <f t="shared" si="3"/>
        <v>ATIVO</v>
      </c>
      <c r="L35" s="46" t="s">
        <v>99</v>
      </c>
      <c r="M35" s="37" t="s">
        <v>69</v>
      </c>
      <c r="N35" s="37">
        <v>230390.0</v>
      </c>
      <c r="O35" s="47">
        <v>1000.0</v>
      </c>
      <c r="P35" s="37">
        <v>339039.0</v>
      </c>
      <c r="Q35" s="37">
        <v>157909.0</v>
      </c>
      <c r="R35" s="37" t="s">
        <v>102</v>
      </c>
      <c r="S35" s="40" t="s">
        <v>111</v>
      </c>
      <c r="T35" s="107"/>
      <c r="U35" s="40" t="s">
        <v>396</v>
      </c>
      <c r="V35" s="48">
        <f t="shared" ref="V35:W35" si="49">X35-Y35</f>
        <v>3.103294167</v>
      </c>
      <c r="W35" s="48">
        <f t="shared" si="49"/>
        <v>3.453501592</v>
      </c>
      <c r="X35" s="48">
        <v>7.0</v>
      </c>
      <c r="Y35" s="48">
        <f t="shared" si="46"/>
        <v>3.896705833</v>
      </c>
      <c r="Z35" s="48">
        <f t="shared" si="47"/>
        <v>0.4432042417</v>
      </c>
      <c r="AA35" s="37">
        <v>2.0</v>
      </c>
      <c r="AB35" s="108">
        <v>0.1263</v>
      </c>
      <c r="AC35" s="51">
        <f>8640/12</f>
        <v>720</v>
      </c>
      <c r="AD35" s="51">
        <f t="shared" ref="AD35:AD38" si="51">AC35*12</f>
        <v>8640</v>
      </c>
      <c r="AE35" s="51">
        <f>IF(COUNTIF(BASE_TG!$AC$2:$AC$1000,U35)=1,IF(AND(S35="SIM",ISNUMBER(AB35)),SUMIF(BASE_TG!$AC$2:$AC$1000,U35,BASE_TG!$AA$2:$AA$1000)*AB35,SUMIF(BASE_TG!$AC$2:$AC$1000,U35,BASE_TG!$AA$2:$AA$1000)),4320)</f>
        <v>2805.6282</v>
      </c>
      <c r="AF35" s="51">
        <f t="shared" si="8"/>
        <v>2486.521146</v>
      </c>
      <c r="AG35" s="106"/>
      <c r="AH35" s="53"/>
      <c r="AI35" s="51">
        <f t="shared" si="48"/>
        <v>0</v>
      </c>
      <c r="AJ35" s="54"/>
      <c r="AK35" s="54">
        <f>IF(COUNTIF(BASE_TG!$AC$2:$AC$1000,U35)=1,SUMIF(BASE_TG!$AC$2:$AC$1000,U35,BASE_TG!$AB$2:$AB$1000),"")</f>
        <v>19687.42</v>
      </c>
      <c r="AL35" s="55" t="str">
        <f>IF(OR(U35="",U35="-"),"SEM EMPENHO",IF(COUNTIF(BASE_TG!$AC$2:$AC$1000,U35)=0,"NÃO LOCALIZADO",IF(COUNTIF(BASE_TG!$AC$2:$AC$1000,U35)=1,"ATUALIZADO","DUPLICADO")))</f>
        <v>ATUALIZADO</v>
      </c>
    </row>
    <row r="36" ht="19.5" customHeight="1">
      <c r="A36" s="56">
        <v>2026.0</v>
      </c>
      <c r="B36" s="34" t="s">
        <v>397</v>
      </c>
      <c r="C36" s="37" t="s">
        <v>592</v>
      </c>
      <c r="D36" s="37" t="s">
        <v>98</v>
      </c>
      <c r="E36" s="38" t="s">
        <v>398</v>
      </c>
      <c r="F36" s="40" t="s">
        <v>101</v>
      </c>
      <c r="G36" s="41" t="s">
        <v>593</v>
      </c>
      <c r="H36" s="43">
        <v>7.6535764000143E13</v>
      </c>
      <c r="I36" s="44">
        <v>46438.0</v>
      </c>
      <c r="J36" s="44">
        <f t="shared" si="2"/>
        <v>46245</v>
      </c>
      <c r="K36" s="44" t="str">
        <f t="shared" si="3"/>
        <v>ATIVO</v>
      </c>
      <c r="L36" s="46" t="s">
        <v>99</v>
      </c>
      <c r="M36" s="37" t="s">
        <v>69</v>
      </c>
      <c r="N36" s="37">
        <v>230390.0</v>
      </c>
      <c r="O36" s="47">
        <v>1000.0</v>
      </c>
      <c r="P36" s="37">
        <v>339039.0</v>
      </c>
      <c r="Q36" s="40">
        <v>157909.0</v>
      </c>
      <c r="R36" s="37" t="s">
        <v>102</v>
      </c>
      <c r="S36" s="40" t="s">
        <v>111</v>
      </c>
      <c r="T36" s="40"/>
      <c r="U36" s="40" t="s">
        <v>396</v>
      </c>
      <c r="V36" s="48">
        <f t="shared" ref="V36:W36" si="50">X36-Y36</f>
        <v>3.11255</v>
      </c>
      <c r="W36" s="48">
        <f t="shared" si="50"/>
        <v>3.4452985</v>
      </c>
      <c r="X36" s="48">
        <v>7.0</v>
      </c>
      <c r="Y36" s="48">
        <f t="shared" si="46"/>
        <v>3.88745</v>
      </c>
      <c r="Z36" s="48">
        <f t="shared" si="47"/>
        <v>0.4421515</v>
      </c>
      <c r="AA36" s="37">
        <v>4.0</v>
      </c>
      <c r="AB36" s="49">
        <v>0.0168</v>
      </c>
      <c r="AC36" s="51">
        <f>1152/12</f>
        <v>96</v>
      </c>
      <c r="AD36" s="51">
        <f t="shared" si="51"/>
        <v>1152</v>
      </c>
      <c r="AE36" s="51">
        <f>IF(COUNTIF(BASE_TG!$AC$2:$AC$1000,U36)=1,IF(AND(S36="SIM",ISNUMBER(AB36)),SUMIF(BASE_TG!$AC$2:$AC$1000,U36,BASE_TG!$AA$2:$AA$1000)*AB36,SUMIF(BASE_TG!$AC$2:$AC$1000,U36,BASE_TG!$AA$2:$AA$1000)),576)</f>
        <v>373.1952</v>
      </c>
      <c r="AF36" s="51">
        <f t="shared" si="8"/>
        <v>330.748656</v>
      </c>
      <c r="AG36" s="106"/>
      <c r="AH36" s="53"/>
      <c r="AI36" s="51">
        <f t="shared" si="48"/>
        <v>0</v>
      </c>
      <c r="AJ36" s="54"/>
      <c r="AK36" s="54">
        <f>IF(COUNTIF(BASE_TG!$AC$2:$AC$1000,U36)=1,SUMIF(BASE_TG!$AC$2:$AC$1000,U36,BASE_TG!$AB$2:$AB$1000),"")</f>
        <v>19687.42</v>
      </c>
      <c r="AL36" s="55" t="str">
        <f>IF(OR(U36="",U36="-"),"SEM EMPENHO",IF(COUNTIF(BASE_TG!$AC$2:$AC$1000,U36)=0,"NÃO LOCALIZADO",IF(COUNTIF(BASE_TG!$AC$2:$AC$1000,U36)=1,"ATUALIZADO","DUPLICADO")))</f>
        <v>ATUALIZADO</v>
      </c>
    </row>
    <row r="37" ht="19.5" customHeight="1">
      <c r="A37" s="56">
        <v>2026.0</v>
      </c>
      <c r="B37" s="34" t="s">
        <v>397</v>
      </c>
      <c r="C37" s="37" t="s">
        <v>592</v>
      </c>
      <c r="D37" s="37" t="s">
        <v>98</v>
      </c>
      <c r="E37" s="38" t="s">
        <v>398</v>
      </c>
      <c r="F37" s="40" t="s">
        <v>101</v>
      </c>
      <c r="G37" s="41" t="s">
        <v>593</v>
      </c>
      <c r="H37" s="43">
        <v>7.6535764000143E13</v>
      </c>
      <c r="I37" s="44">
        <v>46438.0</v>
      </c>
      <c r="J37" s="44">
        <f t="shared" si="2"/>
        <v>46245</v>
      </c>
      <c r="K37" s="44" t="str">
        <f t="shared" si="3"/>
        <v>ATIVO</v>
      </c>
      <c r="L37" s="46" t="s">
        <v>99</v>
      </c>
      <c r="M37" s="37" t="s">
        <v>69</v>
      </c>
      <c r="N37" s="37">
        <v>230390.0</v>
      </c>
      <c r="O37" s="47">
        <v>1000.0</v>
      </c>
      <c r="P37" s="37">
        <v>339039.0</v>
      </c>
      <c r="Q37" s="40">
        <v>157909.0</v>
      </c>
      <c r="R37" s="37" t="s">
        <v>102</v>
      </c>
      <c r="S37" s="40" t="s">
        <v>111</v>
      </c>
      <c r="T37" s="40"/>
      <c r="U37" s="40" t="s">
        <v>396</v>
      </c>
      <c r="V37" s="48">
        <f t="shared" ref="V37:W37" si="52">X37-Y37</f>
        <v>3.11255</v>
      </c>
      <c r="W37" s="48">
        <f t="shared" si="52"/>
        <v>3.4452985</v>
      </c>
      <c r="X37" s="48">
        <v>7.0</v>
      </c>
      <c r="Y37" s="48">
        <f t="shared" si="46"/>
        <v>3.88745</v>
      </c>
      <c r="Z37" s="48">
        <f t="shared" si="47"/>
        <v>0.4421515</v>
      </c>
      <c r="AA37" s="37">
        <v>1.0</v>
      </c>
      <c r="AB37" s="49">
        <v>0.014</v>
      </c>
      <c r="AC37" s="51">
        <f>960/12</f>
        <v>80</v>
      </c>
      <c r="AD37" s="51">
        <f t="shared" si="51"/>
        <v>960</v>
      </c>
      <c r="AE37" s="51">
        <f>IF(COUNTIF(BASE_TG!$AC$2:$AC$1000,U37)=1,IF(AND(S37="SIM",ISNUMBER(AB37)),SUMIF(BASE_TG!$AC$2:$AC$1000,U37,BASE_TG!$AA$2:$AA$1000)*AB37,SUMIF(BASE_TG!$AC$2:$AC$1000,U37,BASE_TG!$AA$2:$AA$1000)),480)</f>
        <v>310.996</v>
      </c>
      <c r="AF37" s="51">
        <f t="shared" si="8"/>
        <v>275.62388</v>
      </c>
      <c r="AG37" s="106"/>
      <c r="AH37" s="53"/>
      <c r="AI37" s="51">
        <f t="shared" si="48"/>
        <v>0</v>
      </c>
      <c r="AJ37" s="54"/>
      <c r="AK37" s="54">
        <f>IF(COUNTIF(BASE_TG!$AC$2:$AC$1000,U37)=1,SUMIF(BASE_TG!$AC$2:$AC$1000,U37,BASE_TG!$AB$2:$AB$1000),"")</f>
        <v>19687.42</v>
      </c>
      <c r="AL37" s="55" t="str">
        <f>IF(OR(U37="",U37="-"),"SEM EMPENHO",IF(COUNTIF(BASE_TG!$AC$2:$AC$1000,U37)=0,"NÃO LOCALIZADO",IF(COUNTIF(BASE_TG!$AC$2:$AC$1000,U37)=1,"ATUALIZADO","DUPLICADO")))</f>
        <v>ATUALIZADO</v>
      </c>
    </row>
    <row r="38" ht="19.5" customHeight="1">
      <c r="A38" s="56">
        <v>2026.0</v>
      </c>
      <c r="B38" s="34" t="s">
        <v>397</v>
      </c>
      <c r="C38" s="37" t="s">
        <v>592</v>
      </c>
      <c r="D38" s="37" t="s">
        <v>98</v>
      </c>
      <c r="E38" s="38" t="s">
        <v>398</v>
      </c>
      <c r="F38" s="40" t="s">
        <v>101</v>
      </c>
      <c r="G38" s="41" t="s">
        <v>593</v>
      </c>
      <c r="H38" s="43">
        <v>7.6535764000143E13</v>
      </c>
      <c r="I38" s="44">
        <v>46438.0</v>
      </c>
      <c r="J38" s="44">
        <f t="shared" si="2"/>
        <v>46245</v>
      </c>
      <c r="K38" s="44" t="str">
        <f t="shared" si="3"/>
        <v>ATIVO</v>
      </c>
      <c r="L38" s="46" t="s">
        <v>99</v>
      </c>
      <c r="M38" s="37" t="s">
        <v>69</v>
      </c>
      <c r="N38" s="37">
        <v>230390.0</v>
      </c>
      <c r="O38" s="47">
        <v>1000.0</v>
      </c>
      <c r="P38" s="37">
        <v>339039.0</v>
      </c>
      <c r="Q38" s="40">
        <v>157909.0</v>
      </c>
      <c r="R38" s="37" t="s">
        <v>102</v>
      </c>
      <c r="S38" s="40" t="s">
        <v>111</v>
      </c>
      <c r="T38" s="107"/>
      <c r="U38" s="40" t="s">
        <v>396</v>
      </c>
      <c r="V38" s="48">
        <f t="shared" ref="V38:W38" si="53">X38-Y38</f>
        <v>3.163036364</v>
      </c>
      <c r="W38" s="48">
        <f t="shared" si="53"/>
        <v>3.400554364</v>
      </c>
      <c r="X38" s="48">
        <v>7.0</v>
      </c>
      <c r="Y38" s="48">
        <f t="shared" si="46"/>
        <v>3.836963636</v>
      </c>
      <c r="Z38" s="48">
        <f t="shared" si="47"/>
        <v>0.4364092727</v>
      </c>
      <c r="AA38" s="37">
        <v>3.0</v>
      </c>
      <c r="AB38" s="108">
        <v>0.0019</v>
      </c>
      <c r="AC38" s="51">
        <f>132/12</f>
        <v>11</v>
      </c>
      <c r="AD38" s="51">
        <f t="shared" si="51"/>
        <v>132</v>
      </c>
      <c r="AE38" s="51">
        <f>IF(COUNTIF(BASE_TG!$AC$2:$AC$1000,U38)=1,IF(AND(S38="SIM",ISNUMBER(AB38)),SUMIF(BASE_TG!$AC$2:$AC$1000,U38,BASE_TG!$AA$2:$AA$1000)*AB38,SUMIF(BASE_TG!$AC$2:$AC$1000,U38,BASE_TG!$AA$2:$AA$1000)),66)</f>
        <v>42.2066</v>
      </c>
      <c r="AF38" s="51">
        <f t="shared" si="8"/>
        <v>37.406098</v>
      </c>
      <c r="AG38" s="106"/>
      <c r="AH38" s="53"/>
      <c r="AI38" s="51">
        <f t="shared" si="48"/>
        <v>0</v>
      </c>
      <c r="AJ38" s="54"/>
      <c r="AK38" s="54">
        <f>IF(COUNTIF(BASE_TG!$AC$2:$AC$1000,U38)=1,SUMIF(BASE_TG!$AC$2:$AC$1000,U38,BASE_TG!$AB$2:$AB$1000),"")</f>
        <v>19687.42</v>
      </c>
      <c r="AL38" s="55" t="str">
        <f>IF(OR(U38="",U38="-"),"SEM EMPENHO",IF(COUNTIF(BASE_TG!$AC$2:$AC$1000,U38)=0,"NÃO LOCALIZADO",IF(COUNTIF(BASE_TG!$AC$2:$AC$1000,U38)=1,"ATUALIZADO","DUPLICADO")))</f>
        <v>ATUALIZADO</v>
      </c>
    </row>
    <row r="39" ht="19.5" customHeight="1">
      <c r="A39" s="56">
        <v>2026.0</v>
      </c>
      <c r="B39" s="34" t="s">
        <v>397</v>
      </c>
      <c r="C39" s="37" t="s">
        <v>592</v>
      </c>
      <c r="D39" s="37" t="s">
        <v>98</v>
      </c>
      <c r="E39" s="38" t="s">
        <v>398</v>
      </c>
      <c r="F39" s="40" t="s">
        <v>75</v>
      </c>
      <c r="G39" s="41" t="s">
        <v>593</v>
      </c>
      <c r="H39" s="43">
        <v>7.6535764000143E13</v>
      </c>
      <c r="I39" s="44">
        <v>46438.0</v>
      </c>
      <c r="J39" s="44">
        <f t="shared" si="2"/>
        <v>46245</v>
      </c>
      <c r="K39" s="44" t="str">
        <f t="shared" si="3"/>
        <v>ATIVO</v>
      </c>
      <c r="L39" s="46" t="s">
        <v>99</v>
      </c>
      <c r="M39" s="37" t="s">
        <v>69</v>
      </c>
      <c r="N39" s="37">
        <v>230390.0</v>
      </c>
      <c r="O39" s="47">
        <v>1000.0</v>
      </c>
      <c r="P39" s="37">
        <v>339039.0</v>
      </c>
      <c r="Q39" s="37">
        <v>157909.0</v>
      </c>
      <c r="R39" s="37" t="s">
        <v>102</v>
      </c>
      <c r="S39" s="40" t="s">
        <v>111</v>
      </c>
      <c r="T39" s="58"/>
      <c r="U39" s="40" t="s">
        <v>396</v>
      </c>
      <c r="V39" s="48">
        <f t="shared" ref="V39:W39" si="54">X39-Y39</f>
        <v>2.102351586</v>
      </c>
      <c r="W39" s="48">
        <f t="shared" si="54"/>
        <v>3.454336965</v>
      </c>
      <c r="X39" s="48">
        <v>6.0</v>
      </c>
      <c r="Y39" s="48">
        <f t="shared" si="46"/>
        <v>3.897648414</v>
      </c>
      <c r="Z39" s="48">
        <f t="shared" si="47"/>
        <v>0.4433114491</v>
      </c>
      <c r="AA39" s="37">
        <v>6.0</v>
      </c>
      <c r="AB39" s="49">
        <v>0.4204</v>
      </c>
      <c r="AC39" s="51">
        <f>28752/12</f>
        <v>2396</v>
      </c>
      <c r="AD39" s="51">
        <v>2396.0</v>
      </c>
      <c r="AE39" s="51">
        <f>IF(COUNTIF(BASE_TG!$AC$2:$AC$1000,U39)=1,IF(AND(S39="SIM",ISNUMBER(AB39)),SUMIF(BASE_TG!$AC$2:$AC$1000,U39,BASE_TG!$AA$2:$AA$1000)*AB39,SUMIF(BASE_TG!$AC$2:$AC$1000,U39,BASE_TG!$AA$2:$AA$1000)),2396)</f>
        <v>9338.7656</v>
      </c>
      <c r="AF39" s="51">
        <f t="shared" si="8"/>
        <v>8276.591368</v>
      </c>
      <c r="AG39" s="106"/>
      <c r="AH39" s="53"/>
      <c r="AI39" s="51"/>
      <c r="AJ39" s="54"/>
      <c r="AK39" s="54">
        <f>IF(COUNTIF(BASE_TG!$AC$2:$AC$1000,U39)=1,SUMIF(BASE_TG!$AC$2:$AC$1000,U39,BASE_TG!$AB$2:$AB$1000),"")</f>
        <v>19687.42</v>
      </c>
      <c r="AL39" s="55" t="str">
        <f>IF(OR(U39="",U39="-"),"SEM EMPENHO",IF(COUNTIF(BASE_TG!$AC$2:$AC$1000,U39)=0,"NÃO LOCALIZADO",IF(COUNTIF(BASE_TG!$AC$2:$AC$1000,U39)=1,"ATUALIZADO","DUPLICADO")))</f>
        <v>ATUALIZADO</v>
      </c>
    </row>
    <row r="40" ht="19.5" customHeight="1">
      <c r="A40" s="77" t="str">
        <f t="shared" ref="A40:A46" si="56">RIGHT(B40,4)</f>
        <v>2022</v>
      </c>
      <c r="B40" s="78" t="s">
        <v>594</v>
      </c>
      <c r="C40" s="79" t="s">
        <v>595</v>
      </c>
      <c r="D40" s="79" t="s">
        <v>98</v>
      </c>
      <c r="E40" s="101" t="s">
        <v>398</v>
      </c>
      <c r="F40" s="81" t="s">
        <v>390</v>
      </c>
      <c r="G40" s="102" t="s">
        <v>593</v>
      </c>
      <c r="H40" s="90">
        <v>7.6535764000143E13</v>
      </c>
      <c r="I40" s="84">
        <v>46141.0</v>
      </c>
      <c r="J40" s="84">
        <f t="shared" si="2"/>
        <v>46245</v>
      </c>
      <c r="K40" s="84" t="str">
        <f t="shared" si="3"/>
        <v>VENCIDO</v>
      </c>
      <c r="L40" s="78" t="s">
        <v>99</v>
      </c>
      <c r="M40" s="79" t="s">
        <v>69</v>
      </c>
      <c r="N40" s="79">
        <v>230390.0</v>
      </c>
      <c r="O40" s="85">
        <v>1000.0</v>
      </c>
      <c r="P40" s="79">
        <v>339039.0</v>
      </c>
      <c r="Q40" s="81">
        <v>157909.0</v>
      </c>
      <c r="R40" s="79" t="s">
        <v>102</v>
      </c>
      <c r="S40" s="81" t="s">
        <v>111</v>
      </c>
      <c r="T40" s="81"/>
      <c r="U40" s="81"/>
      <c r="V40" s="109">
        <f t="shared" ref="V40:W40" si="55">X40-Y40</f>
        <v>2</v>
      </c>
      <c r="W40" s="109">
        <f t="shared" si="55"/>
        <v>0</v>
      </c>
      <c r="X40" s="109">
        <v>6.0</v>
      </c>
      <c r="Y40" s="109">
        <f t="shared" si="46"/>
        <v>4</v>
      </c>
      <c r="Z40" s="109">
        <f t="shared" si="47"/>
        <v>4</v>
      </c>
      <c r="AA40" s="79">
        <v>1.0</v>
      </c>
      <c r="AB40" s="87"/>
      <c r="AC40" s="87">
        <f>36600*0.38/180</f>
        <v>77.26666667</v>
      </c>
      <c r="AD40" s="87">
        <f t="shared" ref="AD40:AD42" si="58">AC40*12</f>
        <v>927.2</v>
      </c>
      <c r="AE40" s="87">
        <f>IF(COUNTIF(BASE_TG!$AC$2:$AC$1000,U40)=1,IF(AND(S40="SIM",ISNUMBER(AB40)),SUMIF(BASE_TG!$AC$2:$AC$1000,U40,BASE_TG!$AA$2:$AA$1000)*AB40,SUMIF(BASE_TG!$AC$2:$AC$1000,U40,BASE_TG!$AA$2:$AA$1000)),309.0666667)</f>
        <v>309.0666667</v>
      </c>
      <c r="AF40" s="87" t="str">
        <f t="shared" si="8"/>
        <v/>
      </c>
      <c r="AG40" s="105"/>
      <c r="AH40" s="53"/>
      <c r="AI40" s="87"/>
      <c r="AJ40" s="54"/>
      <c r="AK40" s="54" t="str">
        <f>IF(COUNTIF(BASE_TG!$AC$2:$AC$1000,U40)=1,SUMIF(BASE_TG!$AC$2:$AC$1000,U40,BASE_TG!$AB$2:$AB$1000),"")</f>
        <v/>
      </c>
      <c r="AL40" s="55" t="str">
        <f>IF(OR(U40="",U40="-"),"SEM EMPENHO",IF(COUNTIF(BASE_TG!$AC$2:$AC$1000,U40)=0,"NÃO LOCALIZADO",IF(COUNTIF(BASE_TG!$AC$2:$AC$1000,U40)=1,"ATUALIZADO","DUPLICADO")))</f>
        <v>SEM EMPENHO</v>
      </c>
    </row>
    <row r="41" ht="19.5" customHeight="1">
      <c r="A41" s="77" t="str">
        <f t="shared" si="56"/>
        <v>2022</v>
      </c>
      <c r="B41" s="78" t="s">
        <v>594</v>
      </c>
      <c r="C41" s="79" t="s">
        <v>595</v>
      </c>
      <c r="D41" s="79" t="s">
        <v>98</v>
      </c>
      <c r="E41" s="101" t="s">
        <v>398</v>
      </c>
      <c r="F41" s="81" t="s">
        <v>390</v>
      </c>
      <c r="G41" s="102" t="s">
        <v>593</v>
      </c>
      <c r="H41" s="90">
        <v>7.6535764000143E13</v>
      </c>
      <c r="I41" s="84">
        <v>46141.0</v>
      </c>
      <c r="J41" s="84">
        <f t="shared" si="2"/>
        <v>46245</v>
      </c>
      <c r="K41" s="84" t="str">
        <f t="shared" si="3"/>
        <v>VENCIDO</v>
      </c>
      <c r="L41" s="78" t="s">
        <v>99</v>
      </c>
      <c r="M41" s="79" t="s">
        <v>69</v>
      </c>
      <c r="N41" s="79">
        <v>230390.0</v>
      </c>
      <c r="O41" s="85">
        <v>1000.0</v>
      </c>
      <c r="P41" s="79">
        <v>339039.0</v>
      </c>
      <c r="Q41" s="81">
        <v>157909.0</v>
      </c>
      <c r="R41" s="79" t="s">
        <v>102</v>
      </c>
      <c r="S41" s="81" t="s">
        <v>111</v>
      </c>
      <c r="T41" s="81"/>
      <c r="U41" s="81"/>
      <c r="V41" s="109">
        <f t="shared" ref="V41:W41" si="57">X41-Y41</f>
        <v>2</v>
      </c>
      <c r="W41" s="109">
        <f t="shared" si="57"/>
        <v>0</v>
      </c>
      <c r="X41" s="109">
        <v>6.0</v>
      </c>
      <c r="Y41" s="109">
        <f t="shared" si="46"/>
        <v>4</v>
      </c>
      <c r="Z41" s="109">
        <f t="shared" si="47"/>
        <v>4</v>
      </c>
      <c r="AA41" s="79">
        <v>2.0</v>
      </c>
      <c r="AB41" s="87"/>
      <c r="AC41" s="87">
        <f>17760*0.69/180</f>
        <v>68.08</v>
      </c>
      <c r="AD41" s="87">
        <f t="shared" si="58"/>
        <v>816.96</v>
      </c>
      <c r="AE41" s="87">
        <f>IF(COUNTIF(BASE_TG!$AC$2:$AC$1000,U41)=1,IF(AND(S41="SIM",ISNUMBER(AB41)),SUMIF(BASE_TG!$AC$2:$AC$1000,U41,BASE_TG!$AA$2:$AA$1000)*AB41,SUMIF(BASE_TG!$AC$2:$AC$1000,U41,BASE_TG!$AA$2:$AA$1000)),272.32)</f>
        <v>272.32</v>
      </c>
      <c r="AF41" s="87" t="str">
        <f t="shared" si="8"/>
        <v/>
      </c>
      <c r="AG41" s="105"/>
      <c r="AH41" s="53"/>
      <c r="AI41" s="87"/>
      <c r="AJ41" s="54"/>
      <c r="AK41" s="54" t="str">
        <f>IF(COUNTIF(BASE_TG!$AC$2:$AC$1000,U41)=1,SUMIF(BASE_TG!$AC$2:$AC$1000,U41,BASE_TG!$AB$2:$AB$1000),"")</f>
        <v/>
      </c>
      <c r="AL41" s="55" t="str">
        <f>IF(OR(U41="",U41="-"),"SEM EMPENHO",IF(COUNTIF(BASE_TG!$AC$2:$AC$1000,U41)=0,"NÃO LOCALIZADO",IF(COUNTIF(BASE_TG!$AC$2:$AC$1000,U41)=1,"ATUALIZADO","DUPLICADO")))</f>
        <v>SEM EMPENHO</v>
      </c>
    </row>
    <row r="42" ht="19.5" customHeight="1">
      <c r="A42" s="56" t="str">
        <f t="shared" si="56"/>
        <v>2020</v>
      </c>
      <c r="B42" s="46" t="s">
        <v>410</v>
      </c>
      <c r="C42" s="37" t="s">
        <v>596</v>
      </c>
      <c r="D42" s="37" t="s">
        <v>98</v>
      </c>
      <c r="E42" s="38" t="s">
        <v>411</v>
      </c>
      <c r="F42" s="40" t="s">
        <v>101</v>
      </c>
      <c r="G42" s="98" t="s">
        <v>597</v>
      </c>
      <c r="H42" s="43" t="s">
        <v>598</v>
      </c>
      <c r="I42" s="67">
        <v>46212.0</v>
      </c>
      <c r="J42" s="67">
        <f t="shared" si="2"/>
        <v>46245</v>
      </c>
      <c r="K42" s="44" t="str">
        <f t="shared" si="3"/>
        <v>VENCIDO</v>
      </c>
      <c r="L42" s="46" t="s">
        <v>99</v>
      </c>
      <c r="M42" s="37" t="s">
        <v>69</v>
      </c>
      <c r="N42" s="37">
        <v>230390.0</v>
      </c>
      <c r="O42" s="47">
        <v>1000.0</v>
      </c>
      <c r="P42" s="37">
        <v>339039.0</v>
      </c>
      <c r="Q42" s="40">
        <v>157909.0</v>
      </c>
      <c r="R42" s="37" t="s">
        <v>102</v>
      </c>
      <c r="S42" s="40" t="s">
        <v>181</v>
      </c>
      <c r="T42" s="40"/>
      <c r="U42" s="40" t="s">
        <v>409</v>
      </c>
      <c r="V42" s="48">
        <f t="shared" ref="V42:W42" si="59">X42-Y42</f>
        <v>1</v>
      </c>
      <c r="W42" s="48">
        <f t="shared" si="59"/>
        <v>1.447296041</v>
      </c>
      <c r="X42" s="48">
        <v>7.0</v>
      </c>
      <c r="Y42" s="48">
        <f t="shared" si="46"/>
        <v>6</v>
      </c>
      <c r="Z42" s="48">
        <f t="shared" si="47"/>
        <v>4.552703959</v>
      </c>
      <c r="AA42" s="37">
        <v>1.0</v>
      </c>
      <c r="AB42" s="70" t="s">
        <v>187</v>
      </c>
      <c r="AC42" s="65">
        <v>96842.82</v>
      </c>
      <c r="AD42" s="51">
        <f t="shared" si="58"/>
        <v>1162113.84</v>
      </c>
      <c r="AE42" s="51">
        <f>IF(COUNTIF(BASE_TG!$AC$2:$AC$1000,U42)=1,IF(AND(S42="SIM",ISNUMBER(AB42)),SUMIF(BASE_TG!$AC$2:$AC$1000,U42,BASE_TG!$AA$2:$AA$1000)*AB42,SUMIF(BASE_TG!$AC$2:$AC$1000,U42,BASE_TG!$AA$2:$AA$1000)),581056.92)</f>
        <v>581056.92</v>
      </c>
      <c r="AF42" s="51">
        <f t="shared" si="8"/>
        <v>140160.23</v>
      </c>
      <c r="AG42" s="106"/>
      <c r="AH42" s="53"/>
      <c r="AI42" s="51">
        <f>AC42*AH42</f>
        <v>0</v>
      </c>
      <c r="AJ42" s="54"/>
      <c r="AK42" s="54">
        <f>IF(COUNTIF(BASE_TG!$AC$2:$AC$1000,U42)=1,SUMIF(BASE_TG!$AC$2:$AC$1000,U42,BASE_TG!$AB$2:$AB$1000),"")</f>
        <v>140160.23</v>
      </c>
      <c r="AL42" s="55" t="str">
        <f>IF(OR(U42="",U42="-"),"SEM EMPENHO",IF(COUNTIF(BASE_TG!$AC$2:$AC$1000,U42)=0,"NÃO LOCALIZADO",IF(COUNTIF(BASE_TG!$AC$2:$AC$1000,U42)=1,"ATUALIZADO","DUPLICADO")))</f>
        <v>ATUALIZADO</v>
      </c>
    </row>
    <row r="43" ht="19.5" customHeight="1">
      <c r="A43" s="56" t="str">
        <f t="shared" si="56"/>
        <v>2024</v>
      </c>
      <c r="B43" s="46" t="s">
        <v>421</v>
      </c>
      <c r="C43" s="37" t="s">
        <v>599</v>
      </c>
      <c r="D43" s="37" t="s">
        <v>98</v>
      </c>
      <c r="E43" s="110" t="s">
        <v>424</v>
      </c>
      <c r="F43" s="40" t="s">
        <v>600</v>
      </c>
      <c r="G43" s="41" t="s">
        <v>103</v>
      </c>
      <c r="H43" s="43">
        <v>3.508097000136E12</v>
      </c>
      <c r="I43" s="44">
        <v>46752.0</v>
      </c>
      <c r="J43" s="44">
        <f t="shared" si="2"/>
        <v>46245</v>
      </c>
      <c r="K43" s="44" t="str">
        <f t="shared" si="3"/>
        <v>ATIVO</v>
      </c>
      <c r="L43" s="46" t="s">
        <v>601</v>
      </c>
      <c r="M43" s="37" t="s">
        <v>69</v>
      </c>
      <c r="N43" s="37">
        <v>230390.0</v>
      </c>
      <c r="O43" s="47">
        <v>1000.0</v>
      </c>
      <c r="P43" s="40">
        <v>339040.0</v>
      </c>
      <c r="Q43" s="37">
        <v>157883.0</v>
      </c>
      <c r="R43" s="37" t="s">
        <v>82</v>
      </c>
      <c r="S43" s="40" t="s">
        <v>181</v>
      </c>
      <c r="T43" s="58"/>
      <c r="U43" s="40" t="s">
        <v>420</v>
      </c>
      <c r="V43" s="40"/>
      <c r="W43" s="40"/>
      <c r="X43" s="48">
        <v>6.0</v>
      </c>
      <c r="Y43" s="48"/>
      <c r="Z43" s="48"/>
      <c r="AA43" s="37">
        <v>1.0</v>
      </c>
      <c r="AB43" s="51"/>
      <c r="AC43" s="51"/>
      <c r="AD43" s="51">
        <v>28155.0</v>
      </c>
      <c r="AE43" s="51">
        <f>IF(COUNTIF(BASE_TG!$AC$2:$AC$1000,U43)=1,IF(AND(S43="SIM",ISNUMBER(AB43)),SUMIF(BASE_TG!$AC$2:$AC$1000,U43,BASE_TG!$AA$2:$AA$1000)*AB43,SUMIF(BASE_TG!$AC$2:$AC$1000,U43,BASE_TG!$AA$2:$AA$1000)),12600)</f>
        <v>12600</v>
      </c>
      <c r="AF43" s="51">
        <f t="shared" si="8"/>
        <v>12600</v>
      </c>
      <c r="AG43" s="106"/>
      <c r="AH43" s="53"/>
      <c r="AI43" s="51"/>
      <c r="AJ43" s="54"/>
      <c r="AK43" s="54">
        <f>IF(COUNTIF(BASE_TG!$AC$2:$AC$1000,U43)=1,SUMIF(BASE_TG!$AC$2:$AC$1000,U43,BASE_TG!$AB$2:$AB$1000),"")</f>
        <v>12600</v>
      </c>
      <c r="AL43" s="55" t="str">
        <f>IF(OR(U43="",U43="-"),"SEM EMPENHO",IF(COUNTIF(BASE_TG!$AC$2:$AC$1000,U43)=0,"NÃO LOCALIZADO",IF(COUNTIF(BASE_TG!$AC$2:$AC$1000,U43)=1,"ATUALIZADO","DUPLICADO")))</f>
        <v>ATUALIZADO</v>
      </c>
    </row>
    <row r="44" ht="19.5" customHeight="1">
      <c r="A44" s="56" t="str">
        <f t="shared" si="56"/>
        <v>2017</v>
      </c>
      <c r="B44" s="34" t="s">
        <v>430</v>
      </c>
      <c r="C44" s="34" t="s">
        <v>602</v>
      </c>
      <c r="D44" s="37" t="s">
        <v>98</v>
      </c>
      <c r="E44" s="110" t="s">
        <v>431</v>
      </c>
      <c r="F44" s="40" t="s">
        <v>101</v>
      </c>
      <c r="G44" s="98" t="s">
        <v>489</v>
      </c>
      <c r="H44" s="43" t="s">
        <v>603</v>
      </c>
      <c r="I44" s="44">
        <v>46535.0</v>
      </c>
      <c r="J44" s="44">
        <f t="shared" si="2"/>
        <v>46245</v>
      </c>
      <c r="K44" s="44" t="str">
        <f t="shared" si="3"/>
        <v>ATIVO</v>
      </c>
      <c r="L44" s="37" t="s">
        <v>604</v>
      </c>
      <c r="M44" s="37" t="s">
        <v>69</v>
      </c>
      <c r="N44" s="37">
        <v>230390.0</v>
      </c>
      <c r="O44" s="47">
        <v>1000.0</v>
      </c>
      <c r="P44" s="37">
        <v>339039.0</v>
      </c>
      <c r="Q44" s="37">
        <v>158647.0</v>
      </c>
      <c r="R44" s="37" t="s">
        <v>102</v>
      </c>
      <c r="S44" s="40" t="s">
        <v>181</v>
      </c>
      <c r="T44" s="40"/>
      <c r="U44" s="40" t="s">
        <v>429</v>
      </c>
      <c r="V44" s="48">
        <f t="shared" ref="V44:W44" si="60">X44-Y44</f>
        <v>1</v>
      </c>
      <c r="W44" s="48">
        <f t="shared" si="60"/>
        <v>0.001721699611</v>
      </c>
      <c r="X44" s="48">
        <v>7.0</v>
      </c>
      <c r="Y44" s="48">
        <f t="shared" ref="Y44:Y56" si="62">AE44/AC44</f>
        <v>6</v>
      </c>
      <c r="Z44" s="48">
        <f t="shared" ref="Z44:Z56" si="63">(AE44-AF44)/AC44</f>
        <v>5.9982783</v>
      </c>
      <c r="AA44" s="37">
        <v>1.0</v>
      </c>
      <c r="AB44" s="64" t="s">
        <v>187</v>
      </c>
      <c r="AC44" s="50">
        <v>348940.08</v>
      </c>
      <c r="AD44" s="51">
        <f t="shared" ref="AD44:AD45" si="64">AC44*12</f>
        <v>4187280.96</v>
      </c>
      <c r="AE44" s="51">
        <f>IF(COUNTIF(BASE_TG!$AC$2:$AC$1000,U44)=1,IF(AND(S44="SIM",ISNUMBER(AB44)),SUMIF(BASE_TG!$AC$2:$AC$1000,U44,BASE_TG!$AA$2:$AA$1000)*AB44,SUMIF(BASE_TG!$AC$2:$AC$1000,U44,BASE_TG!$AA$2:$AA$1000)),2093640.48)</f>
        <v>2093640.48</v>
      </c>
      <c r="AF44" s="51">
        <f t="shared" si="8"/>
        <v>600.77</v>
      </c>
      <c r="AG44" s="106"/>
      <c r="AH44" s="53"/>
      <c r="AI44" s="51">
        <f t="shared" ref="AI44:AI52" si="65">AC44*AH44</f>
        <v>0</v>
      </c>
      <c r="AJ44" s="54"/>
      <c r="AK44" s="54">
        <f>IF(COUNTIF(BASE_TG!$AC$2:$AC$1000,U44)=1,SUMIF(BASE_TG!$AC$2:$AC$1000,U44,BASE_TG!$AB$2:$AB$1000),"")</f>
        <v>600.77</v>
      </c>
      <c r="AL44" s="55" t="str">
        <f>IF(OR(U44="",U44="-"),"SEM EMPENHO",IF(COUNTIF(BASE_TG!$AC$2:$AC$1000,U44)=0,"NÃO LOCALIZADO",IF(COUNTIF(BASE_TG!$AC$2:$AC$1000,U44)=1,"ATUALIZADO","DUPLICADO")))</f>
        <v>ATUALIZADO</v>
      </c>
    </row>
    <row r="45" ht="19.5" customHeight="1">
      <c r="A45" s="56" t="str">
        <f t="shared" si="56"/>
        <v>2025</v>
      </c>
      <c r="B45" s="46" t="s">
        <v>438</v>
      </c>
      <c r="C45" s="37" t="s">
        <v>605</v>
      </c>
      <c r="D45" s="37" t="s">
        <v>98</v>
      </c>
      <c r="E45" s="111" t="s">
        <v>440</v>
      </c>
      <c r="F45" s="40" t="s">
        <v>101</v>
      </c>
      <c r="G45" s="41" t="s">
        <v>606</v>
      </c>
      <c r="H45" s="43" t="s">
        <v>607</v>
      </c>
      <c r="I45" s="44">
        <v>46514.0</v>
      </c>
      <c r="J45" s="44">
        <f t="shared" si="2"/>
        <v>46245</v>
      </c>
      <c r="K45" s="44" t="str">
        <f t="shared" si="3"/>
        <v>ATIVO</v>
      </c>
      <c r="L45" s="46" t="s">
        <v>99</v>
      </c>
      <c r="M45" s="37" t="s">
        <v>69</v>
      </c>
      <c r="N45" s="37">
        <v>230390.0</v>
      </c>
      <c r="O45" s="47">
        <v>1000.0</v>
      </c>
      <c r="P45" s="37">
        <v>339037.0</v>
      </c>
      <c r="Q45" s="40">
        <v>157909.0</v>
      </c>
      <c r="R45" s="37" t="s">
        <v>102</v>
      </c>
      <c r="S45" s="40" t="s">
        <v>181</v>
      </c>
      <c r="T45" s="40"/>
      <c r="U45" s="40" t="s">
        <v>436</v>
      </c>
      <c r="V45" s="48">
        <f t="shared" ref="V45:W45" si="61">X45-Y45</f>
        <v>1</v>
      </c>
      <c r="W45" s="48">
        <f t="shared" si="61"/>
        <v>0.7174341156</v>
      </c>
      <c r="X45" s="48">
        <v>7.0</v>
      </c>
      <c r="Y45" s="48">
        <f t="shared" si="62"/>
        <v>6</v>
      </c>
      <c r="Z45" s="48">
        <f t="shared" si="63"/>
        <v>5.282565884</v>
      </c>
      <c r="AA45" s="37">
        <v>1.0</v>
      </c>
      <c r="AB45" s="68" t="s">
        <v>187</v>
      </c>
      <c r="AC45" s="112">
        <v>301810.32</v>
      </c>
      <c r="AD45" s="113">
        <f t="shared" si="64"/>
        <v>3621723.84</v>
      </c>
      <c r="AE45" s="51">
        <f>IF(COUNTIF(BASE_TG!$AC$2:$AC$1000,U45)=1,IF(AND(S45="SIM",ISNUMBER(AB45)),SUMIF(BASE_TG!$AC$2:$AC$1000,U45,BASE_TG!$AA$2:$AA$1000)*AB45,SUMIF(BASE_TG!$AC$2:$AC$1000,U45,BASE_TG!$AA$2:$AA$1000)),1810861.92)</f>
        <v>1810861.92</v>
      </c>
      <c r="AF45" s="51">
        <f t="shared" si="8"/>
        <v>216529.02</v>
      </c>
      <c r="AG45" s="52"/>
      <c r="AH45" s="53"/>
      <c r="AI45" s="51">
        <f t="shared" si="65"/>
        <v>0</v>
      </c>
      <c r="AJ45" s="54"/>
      <c r="AK45" s="54">
        <f>IF(COUNTIF(BASE_TG!$AC$2:$AC$1000,U45)=1,SUMIF(BASE_TG!$AC$2:$AC$1000,U45,BASE_TG!$AB$2:$AB$1000),"")</f>
        <v>216529.02</v>
      </c>
      <c r="AL45" s="55" t="str">
        <f>IF(OR(U45="",U45="-"),"SEM EMPENHO",IF(COUNTIF(BASE_TG!$AC$2:$AC$1000,U45)=0,"NÃO LOCALIZADO",IF(COUNTIF(BASE_TG!$AC$2:$AC$1000,U45)=1,"ATUALIZADO","DUPLICADO")))</f>
        <v>ATUALIZADO</v>
      </c>
    </row>
    <row r="46" ht="19.5" customHeight="1">
      <c r="A46" s="56" t="str">
        <f t="shared" si="56"/>
        <v>2024</v>
      </c>
      <c r="B46" s="46" t="s">
        <v>445</v>
      </c>
      <c r="C46" s="35" t="s">
        <v>608</v>
      </c>
      <c r="D46" s="37" t="s">
        <v>98</v>
      </c>
      <c r="E46" s="114" t="s">
        <v>448</v>
      </c>
      <c r="F46" s="40" t="s">
        <v>101</v>
      </c>
      <c r="G46" s="98" t="s">
        <v>606</v>
      </c>
      <c r="H46" s="43" t="s">
        <v>607</v>
      </c>
      <c r="I46" s="67">
        <v>46558.0</v>
      </c>
      <c r="J46" s="67">
        <f t="shared" si="2"/>
        <v>46245</v>
      </c>
      <c r="K46" s="44" t="str">
        <f t="shared" si="3"/>
        <v>ATIVO</v>
      </c>
      <c r="L46" s="46" t="s">
        <v>99</v>
      </c>
      <c r="M46" s="37" t="s">
        <v>69</v>
      </c>
      <c r="N46" s="37">
        <v>230390.0</v>
      </c>
      <c r="O46" s="47">
        <v>1000.0</v>
      </c>
      <c r="P46" s="37">
        <v>339037.0</v>
      </c>
      <c r="Q46" s="40">
        <v>157909.0</v>
      </c>
      <c r="R46" s="37" t="s">
        <v>102</v>
      </c>
      <c r="S46" s="40" t="s">
        <v>181</v>
      </c>
      <c r="T46" s="40"/>
      <c r="U46" s="40" t="s">
        <v>444</v>
      </c>
      <c r="V46" s="48">
        <f t="shared" ref="V46:W46" si="66">X46-Y46</f>
        <v>1</v>
      </c>
      <c r="W46" s="48">
        <f t="shared" si="66"/>
        <v>3.258528085</v>
      </c>
      <c r="X46" s="48">
        <v>7.0</v>
      </c>
      <c r="Y46" s="48">
        <f t="shared" si="62"/>
        <v>6</v>
      </c>
      <c r="Z46" s="48">
        <f t="shared" si="63"/>
        <v>2.741471915</v>
      </c>
      <c r="AA46" s="37">
        <v>1.0</v>
      </c>
      <c r="AB46" s="70" t="s">
        <v>187</v>
      </c>
      <c r="AC46" s="115">
        <v>640882.48</v>
      </c>
      <c r="AD46" s="51">
        <v>7957298.4</v>
      </c>
      <c r="AE46" s="51">
        <f>IF(COUNTIF(BASE_TG!$AC$2:$AC$1000,U46)=1,IF(AND(S46="SIM",ISNUMBER(AB46)),SUMIF(BASE_TG!$AC$2:$AC$1000,U46,BASE_TG!$AA$2:$AA$1000)*AB46,SUMIF(BASE_TG!$AC$2:$AC$1000,U46,BASE_TG!$AA$2:$AA$1000)),3845294.88)</f>
        <v>3845294.88</v>
      </c>
      <c r="AF46" s="51">
        <f t="shared" si="8"/>
        <v>2088333.56</v>
      </c>
      <c r="AG46" s="52"/>
      <c r="AH46" s="53"/>
      <c r="AI46" s="51">
        <f t="shared" si="65"/>
        <v>0</v>
      </c>
      <c r="AJ46" s="54"/>
      <c r="AK46" s="54">
        <f>IF(COUNTIF(BASE_TG!$AC$2:$AC$1000,U46)=1,SUMIF(BASE_TG!$AC$2:$AC$1000,U46,BASE_TG!$AB$2:$AB$1000),"")</f>
        <v>2088333.56</v>
      </c>
      <c r="AL46" s="55" t="str">
        <f>IF(OR(U46="",U46="-"),"SEM EMPENHO",IF(COUNTIF(BASE_TG!$AC$2:$AC$1000,U46)=0,"NÃO LOCALIZADO",IF(COUNTIF(BASE_TG!$AC$2:$AC$1000,U46)=1,"ATUALIZADO","DUPLICADO")))</f>
        <v>ATUALIZADO</v>
      </c>
    </row>
    <row r="47" ht="24.0" customHeight="1">
      <c r="A47" s="56">
        <v>2026.0</v>
      </c>
      <c r="B47" s="46" t="s">
        <v>454</v>
      </c>
      <c r="C47" s="35" t="s">
        <v>609</v>
      </c>
      <c r="D47" s="35" t="s">
        <v>609</v>
      </c>
      <c r="E47" s="114" t="s">
        <v>455</v>
      </c>
      <c r="F47" s="40" t="s">
        <v>101</v>
      </c>
      <c r="G47" s="98" t="s">
        <v>606</v>
      </c>
      <c r="H47" s="43" t="s">
        <v>607</v>
      </c>
      <c r="I47" s="44">
        <v>46373.0</v>
      </c>
      <c r="J47" s="44">
        <f t="shared" si="2"/>
        <v>46245</v>
      </c>
      <c r="K47" s="44" t="str">
        <f t="shared" si="3"/>
        <v>ATIVO</v>
      </c>
      <c r="L47" s="46" t="s">
        <v>99</v>
      </c>
      <c r="M47" s="37" t="s">
        <v>69</v>
      </c>
      <c r="N47" s="37">
        <v>230390.0</v>
      </c>
      <c r="O47" s="47">
        <v>1000.0</v>
      </c>
      <c r="P47" s="37">
        <v>339037.0</v>
      </c>
      <c r="Q47" s="40">
        <v>157909.0</v>
      </c>
      <c r="R47" s="37" t="s">
        <v>102</v>
      </c>
      <c r="S47" s="40" t="s">
        <v>181</v>
      </c>
      <c r="T47" s="40"/>
      <c r="U47" s="40" t="s">
        <v>453</v>
      </c>
      <c r="V47" s="48">
        <f t="shared" ref="V47:W47" si="67">X47-Y47</f>
        <v>5.098862135</v>
      </c>
      <c r="W47" s="48">
        <f t="shared" si="67"/>
        <v>1.901137865</v>
      </c>
      <c r="X47" s="48">
        <v>7.0</v>
      </c>
      <c r="Y47" s="48">
        <f t="shared" si="62"/>
        <v>1.901137865</v>
      </c>
      <c r="Z47" s="48">
        <f t="shared" si="63"/>
        <v>0</v>
      </c>
      <c r="AA47" s="37">
        <v>1.0</v>
      </c>
      <c r="AB47" s="70" t="s">
        <v>187</v>
      </c>
      <c r="AC47" s="115">
        <f>AD47/12</f>
        <v>797911.76</v>
      </c>
      <c r="AD47" s="51">
        <f>2*4787470.56</f>
        <v>9574941.12</v>
      </c>
      <c r="AE47" s="51">
        <f>IF(COUNTIF(BASE_TG!$AC$2:$AC$1000,U47)=1,IF(AND(S47="SIM",ISNUMBER(AB47)),SUMIF(BASE_TG!$AC$2:$AC$1000,U47,BASE_TG!$AA$2:$AA$1000)*AB47,SUMIF(BASE_TG!$AC$2:$AC$1000,U47,BASE_TG!$AA$2:$AA$1000)),1516940.26)</f>
        <v>1516940.26</v>
      </c>
      <c r="AF47" s="51">
        <f t="shared" si="8"/>
        <v>1516940.26</v>
      </c>
      <c r="AG47" s="52"/>
      <c r="AH47" s="53"/>
      <c r="AI47" s="51">
        <f t="shared" si="65"/>
        <v>0</v>
      </c>
      <c r="AJ47" s="54"/>
      <c r="AK47" s="54">
        <f>IF(COUNTIF(BASE_TG!$AC$2:$AC$1000,U47)=1,SUMIF(BASE_TG!$AC$2:$AC$1000,U47,BASE_TG!$AB$2:$AB$1000),"")</f>
        <v>1516940.26</v>
      </c>
      <c r="AL47" s="55" t="str">
        <f>IF(OR(U47="",U47="-"),"SEM EMPENHO",IF(COUNTIF(BASE_TG!$AC$2:$AC$1000,U47)=0,"NÃO LOCALIZADO",IF(COUNTIF(BASE_TG!$AC$2:$AC$1000,U47)=1,"ATUALIZADO","DUPLICADO")))</f>
        <v>ATUALIZADO</v>
      </c>
    </row>
    <row r="48" ht="19.5" customHeight="1">
      <c r="A48" s="56" t="str">
        <f t="shared" ref="A48:A51" si="69">RIGHT(B48,4)</f>
        <v>2025</v>
      </c>
      <c r="B48" s="46" t="s">
        <v>463</v>
      </c>
      <c r="C48" s="37" t="s">
        <v>610</v>
      </c>
      <c r="D48" s="37" t="s">
        <v>98</v>
      </c>
      <c r="E48" s="111" t="s">
        <v>465</v>
      </c>
      <c r="F48" s="40" t="s">
        <v>101</v>
      </c>
      <c r="G48" s="40" t="s">
        <v>611</v>
      </c>
      <c r="H48" s="43" t="s">
        <v>607</v>
      </c>
      <c r="I48" s="44">
        <v>46235.0</v>
      </c>
      <c r="J48" s="44">
        <f t="shared" si="2"/>
        <v>46245</v>
      </c>
      <c r="K48" s="44" t="str">
        <f t="shared" si="3"/>
        <v>VENCIDO</v>
      </c>
      <c r="L48" s="46" t="s">
        <v>99</v>
      </c>
      <c r="M48" s="37" t="s">
        <v>69</v>
      </c>
      <c r="N48" s="37">
        <v>230390.0</v>
      </c>
      <c r="O48" s="47">
        <v>1000.0</v>
      </c>
      <c r="P48" s="37">
        <v>339037.0</v>
      </c>
      <c r="Q48" s="40">
        <v>157909.0</v>
      </c>
      <c r="R48" s="37" t="s">
        <v>102</v>
      </c>
      <c r="S48" s="40" t="s">
        <v>181</v>
      </c>
      <c r="T48" s="40"/>
      <c r="U48" s="40" t="s">
        <v>461</v>
      </c>
      <c r="V48" s="48">
        <f t="shared" ref="V48:W48" si="68">X48-Y48</f>
        <v>1</v>
      </c>
      <c r="W48" s="48">
        <f t="shared" si="68"/>
        <v>0.5397308838</v>
      </c>
      <c r="X48" s="48">
        <v>7.0</v>
      </c>
      <c r="Y48" s="48">
        <f t="shared" si="62"/>
        <v>6</v>
      </c>
      <c r="Z48" s="48">
        <f t="shared" si="63"/>
        <v>5.460269116</v>
      </c>
      <c r="AA48" s="37">
        <v>1.0</v>
      </c>
      <c r="AB48" s="64" t="s">
        <v>187</v>
      </c>
      <c r="AC48" s="65">
        <v>824630.41</v>
      </c>
      <c r="AD48" s="51">
        <f t="shared" ref="AD48:AD52" si="71">AC48*12</f>
        <v>9895564.92</v>
      </c>
      <c r="AE48" s="51">
        <f>IF(COUNTIF(BASE_TG!$AC$2:$AC$1000,U48)=1,IF(AND(S48="SIM",ISNUMBER(AB48)),SUMIF(BASE_TG!$AC$2:$AC$1000,U48,BASE_TG!$AA$2:$AA$1000)*AB48,SUMIF(BASE_TG!$AC$2:$AC$1000,U48,BASE_TG!$AA$2:$AA$1000)),4947782.46)</f>
        <v>4947782.46</v>
      </c>
      <c r="AF48" s="51">
        <f t="shared" si="8"/>
        <v>445078.5</v>
      </c>
      <c r="AG48" s="52"/>
      <c r="AH48" s="53"/>
      <c r="AI48" s="51">
        <f t="shared" si="65"/>
        <v>0</v>
      </c>
      <c r="AJ48" s="54"/>
      <c r="AK48" s="54">
        <f>IF(COUNTIF(BASE_TG!$AC$2:$AC$1000,U48)=1,SUMIF(BASE_TG!$AC$2:$AC$1000,U48,BASE_TG!$AB$2:$AB$1000),"")</f>
        <v>445078.5</v>
      </c>
      <c r="AL48" s="55" t="str">
        <f>IF(OR(U48="",U48="-"),"SEM EMPENHO",IF(COUNTIF(BASE_TG!$AC$2:$AC$1000,U48)=0,"NÃO LOCALIZADO",IF(COUNTIF(BASE_TG!$AC$2:$AC$1000,U48)=1,"ATUALIZADO","DUPLICADO")))</f>
        <v>ATUALIZADO</v>
      </c>
    </row>
    <row r="49" ht="28.5" customHeight="1">
      <c r="A49" s="56" t="str">
        <f t="shared" si="69"/>
        <v>2024</v>
      </c>
      <c r="B49" s="46" t="s">
        <v>472</v>
      </c>
      <c r="C49" s="37" t="s">
        <v>612</v>
      </c>
      <c r="D49" s="37" t="s">
        <v>98</v>
      </c>
      <c r="E49" s="73" t="s">
        <v>473</v>
      </c>
      <c r="F49" s="40" t="s">
        <v>101</v>
      </c>
      <c r="G49" s="41" t="s">
        <v>103</v>
      </c>
      <c r="H49" s="43">
        <v>3.3683111000107E13</v>
      </c>
      <c r="I49" s="44">
        <v>47407.0</v>
      </c>
      <c r="J49" s="44">
        <f t="shared" si="2"/>
        <v>46245</v>
      </c>
      <c r="K49" s="44" t="str">
        <f t="shared" si="3"/>
        <v>ATIVO</v>
      </c>
      <c r="L49" s="46" t="s">
        <v>355</v>
      </c>
      <c r="M49" s="37" t="s">
        <v>69</v>
      </c>
      <c r="N49" s="37">
        <v>230390.0</v>
      </c>
      <c r="O49" s="47">
        <v>1000.0</v>
      </c>
      <c r="P49" s="40">
        <v>339040.0</v>
      </c>
      <c r="Q49" s="37">
        <v>157742.0</v>
      </c>
      <c r="R49" s="40" t="s">
        <v>82</v>
      </c>
      <c r="S49" s="40" t="s">
        <v>111</v>
      </c>
      <c r="T49" s="40"/>
      <c r="U49" s="40" t="s">
        <v>470</v>
      </c>
      <c r="V49" s="48">
        <f t="shared" ref="V49:W49" si="70">X49-Y49</f>
        <v>1.000029795</v>
      </c>
      <c r="W49" s="48">
        <f t="shared" si="70"/>
        <v>1.250383613</v>
      </c>
      <c r="X49" s="48">
        <v>7.0</v>
      </c>
      <c r="Y49" s="48">
        <f t="shared" si="62"/>
        <v>5.999970205</v>
      </c>
      <c r="Z49" s="48">
        <f t="shared" si="63"/>
        <v>4.749586592</v>
      </c>
      <c r="AA49" s="37">
        <v>1.0</v>
      </c>
      <c r="AB49" s="49">
        <v>0.7836126629422718</v>
      </c>
      <c r="AC49" s="51">
        <f>100*63.12/12*0.25</f>
        <v>131.5</v>
      </c>
      <c r="AD49" s="51">
        <f t="shared" si="71"/>
        <v>1578</v>
      </c>
      <c r="AE49" s="51">
        <f>IF(COUNTIF(BASE_TG!$AC$2:$AC$1000,U49)=1,IF(AND(S49="SIM",ISNUMBER(AB49)),SUMIF(BASE_TG!$AC$2:$AC$1000,U49,BASE_TG!$AA$2:$AA$1000)*AB49,SUMIF(BASE_TG!$AC$2:$AC$1000,U49,BASE_TG!$AA$2:$AA$1000)),789)</f>
        <v>788.9960819</v>
      </c>
      <c r="AF49" s="51">
        <f t="shared" si="8"/>
        <v>164.4254451</v>
      </c>
      <c r="AG49" s="52"/>
      <c r="AH49" s="53"/>
      <c r="AI49" s="51">
        <f t="shared" si="65"/>
        <v>0</v>
      </c>
      <c r="AJ49" s="54"/>
      <c r="AK49" s="54">
        <f>IF(COUNTIF(BASE_TG!$AC$2:$AC$1000,U49)=1,SUMIF(BASE_TG!$AC$2:$AC$1000,U49,BASE_TG!$AB$2:$AB$1000),"")</f>
        <v>209.83</v>
      </c>
      <c r="AL49" s="55" t="str">
        <f>IF(OR(U49="",U49="-"),"SEM EMPENHO",IF(COUNTIF(BASE_TG!$AC$2:$AC$1000,U49)=0,"NÃO LOCALIZADO",IF(COUNTIF(BASE_TG!$AC$2:$AC$1000,U49)=1,"ATUALIZADO","DUPLICADO")))</f>
        <v>ATUALIZADO</v>
      </c>
    </row>
    <row r="50" ht="36.0" customHeight="1">
      <c r="A50" s="35" t="str">
        <f t="shared" si="69"/>
        <v>2024</v>
      </c>
      <c r="B50" s="46" t="s">
        <v>472</v>
      </c>
      <c r="C50" s="37" t="s">
        <v>612</v>
      </c>
      <c r="D50" s="37" t="s">
        <v>98</v>
      </c>
      <c r="E50" s="73" t="s">
        <v>473</v>
      </c>
      <c r="F50" s="40" t="s">
        <v>101</v>
      </c>
      <c r="G50" s="41" t="s">
        <v>103</v>
      </c>
      <c r="H50" s="43">
        <v>3.3683111000107E13</v>
      </c>
      <c r="I50" s="44">
        <v>47407.0</v>
      </c>
      <c r="J50" s="44">
        <f t="shared" si="2"/>
        <v>46245</v>
      </c>
      <c r="K50" s="44" t="str">
        <f t="shared" si="3"/>
        <v>ATIVO</v>
      </c>
      <c r="L50" s="46" t="s">
        <v>355</v>
      </c>
      <c r="M50" s="37" t="s">
        <v>69</v>
      </c>
      <c r="N50" s="37">
        <v>230390.0</v>
      </c>
      <c r="O50" s="47">
        <v>1000.0</v>
      </c>
      <c r="P50" s="40">
        <v>339040.0</v>
      </c>
      <c r="Q50" s="37">
        <v>157742.0</v>
      </c>
      <c r="R50" s="40" t="s">
        <v>82</v>
      </c>
      <c r="S50" s="40" t="s">
        <v>111</v>
      </c>
      <c r="T50" s="40"/>
      <c r="U50" s="40" t="s">
        <v>470</v>
      </c>
      <c r="V50" s="48">
        <f t="shared" ref="V50:W50" si="72">X50-Y50</f>
        <v>1.000029795</v>
      </c>
      <c r="W50" s="48">
        <f t="shared" si="72"/>
        <v>1.250383613</v>
      </c>
      <c r="X50" s="48">
        <v>7.0</v>
      </c>
      <c r="Y50" s="48">
        <f t="shared" si="62"/>
        <v>5.999970205</v>
      </c>
      <c r="Z50" s="48">
        <f t="shared" si="63"/>
        <v>4.749586592</v>
      </c>
      <c r="AA50" s="37">
        <v>2.0</v>
      </c>
      <c r="AB50" s="49">
        <v>0.2163873370577281</v>
      </c>
      <c r="AC50" s="51">
        <f>50*34.86/12*0.25</f>
        <v>36.3125</v>
      </c>
      <c r="AD50" s="51">
        <f t="shared" si="71"/>
        <v>435.75</v>
      </c>
      <c r="AE50" s="51">
        <f>IF(COUNTIF(BASE_TG!$AC$2:$AC$1000,U50)=1,IF(AND(S50="SIM",ISNUMBER(AB50)),SUMIF(BASE_TG!$AC$2:$AC$1000,U50,BASE_TG!$AA$2:$AA$1000)*AB50,SUMIF(BASE_TG!$AC$2:$AC$1000,U50,BASE_TG!$AA$2:$AA$1000)),217.875)</f>
        <v>217.8739181</v>
      </c>
      <c r="AF50" s="51">
        <f t="shared" si="8"/>
        <v>45.40455493</v>
      </c>
      <c r="AG50" s="52"/>
      <c r="AH50" s="53"/>
      <c r="AI50" s="51">
        <f t="shared" si="65"/>
        <v>0</v>
      </c>
      <c r="AJ50" s="54"/>
      <c r="AK50" s="54">
        <f>IF(COUNTIF(BASE_TG!$AC$2:$AC$1000,U50)=1,SUMIF(BASE_TG!$AC$2:$AC$1000,U50,BASE_TG!$AB$2:$AB$1000),"")</f>
        <v>209.83</v>
      </c>
      <c r="AL50" s="55" t="str">
        <f>IF(OR(U50="",U50="-"),"SEM EMPENHO",IF(COUNTIF(BASE_TG!$AC$2:$AC$1000,U50)=0,"NÃO LOCALIZADO",IF(COUNTIF(BASE_TG!$AC$2:$AC$1000,U50)=1,"ATUALIZADO","DUPLICADO")))</f>
        <v>ATUALIZADO</v>
      </c>
    </row>
    <row r="51" ht="15.75" customHeight="1">
      <c r="A51" s="35" t="str">
        <f t="shared" si="69"/>
        <v>2021</v>
      </c>
      <c r="B51" s="46" t="s">
        <v>482</v>
      </c>
      <c r="C51" s="35" t="s">
        <v>613</v>
      </c>
      <c r="D51" s="37" t="s">
        <v>98</v>
      </c>
      <c r="E51" s="62" t="s">
        <v>483</v>
      </c>
      <c r="F51" s="40" t="s">
        <v>101</v>
      </c>
      <c r="G51" s="40" t="s">
        <v>142</v>
      </c>
      <c r="H51" s="43">
        <v>7.575881000118E12</v>
      </c>
      <c r="I51" s="44">
        <v>46295.0</v>
      </c>
      <c r="J51" s="44">
        <f t="shared" si="2"/>
        <v>46245</v>
      </c>
      <c r="K51" s="44" t="str">
        <f t="shared" si="3"/>
        <v>ATIVO</v>
      </c>
      <c r="L51" s="46" t="s">
        <v>99</v>
      </c>
      <c r="M51" s="37" t="s">
        <v>69</v>
      </c>
      <c r="N51" s="37">
        <v>230390.0</v>
      </c>
      <c r="O51" s="47">
        <v>1000.0</v>
      </c>
      <c r="P51" s="40">
        <v>339039.0</v>
      </c>
      <c r="Q51" s="40">
        <v>157909.0</v>
      </c>
      <c r="R51" s="37" t="s">
        <v>102</v>
      </c>
      <c r="S51" s="40" t="s">
        <v>181</v>
      </c>
      <c r="T51" s="40"/>
      <c r="U51" s="40" t="s">
        <v>481</v>
      </c>
      <c r="V51" s="48">
        <f t="shared" ref="V51:W51" si="73">X51-Y51</f>
        <v>0.999999278</v>
      </c>
      <c r="W51" s="48">
        <f t="shared" si="73"/>
        <v>0.1819860161</v>
      </c>
      <c r="X51" s="48">
        <v>7.0</v>
      </c>
      <c r="Y51" s="48">
        <f t="shared" si="62"/>
        <v>6.000000722</v>
      </c>
      <c r="Z51" s="48">
        <f t="shared" si="63"/>
        <v>5.818014706</v>
      </c>
      <c r="AA51" s="37">
        <v>1.0</v>
      </c>
      <c r="AB51" s="68" t="s">
        <v>187</v>
      </c>
      <c r="AC51" s="51">
        <f>(50.92*2176/12)*0.6</f>
        <v>5540.096</v>
      </c>
      <c r="AD51" s="51">
        <f t="shared" si="71"/>
        <v>66481.152</v>
      </c>
      <c r="AE51" s="51">
        <f>IF(COUNTIF(BASE_TG!$AC$2:$AC$1000,U51)=1,IF(AND(S51="SIM",ISNUMBER(AB51)),SUMIF(BASE_TG!$AC$2:$AC$1000,U51,BASE_TG!$AA$2:$AA$1000)*AB51,SUMIF(BASE_TG!$AC$2:$AC$1000,U51,BASE_TG!$AA$2:$AA$1000)),33240.58)</f>
        <v>33240.58</v>
      </c>
      <c r="AF51" s="51">
        <f t="shared" si="8"/>
        <v>1008.22</v>
      </c>
      <c r="AG51" s="52"/>
      <c r="AH51" s="53"/>
      <c r="AI51" s="51">
        <f t="shared" si="65"/>
        <v>0</v>
      </c>
      <c r="AJ51" s="54"/>
      <c r="AK51" s="54">
        <f>IF(COUNTIF(BASE_TG!$AC$2:$AC$1000,U51)=1,SUMIF(BASE_TG!$AC$2:$AC$1000,U51,BASE_TG!$AB$2:$AB$1000),"")</f>
        <v>1008.22</v>
      </c>
      <c r="AL51" s="55" t="str">
        <f>IF(OR(U51="",U51="-"),"SEM EMPENHO",IF(COUNTIF(BASE_TG!$AC$2:$AC$1000,U51)=0,"NÃO LOCALIZADO",IF(COUNTIF(BASE_TG!$AC$2:$AC$1000,U51)=1,"ATUALIZADO","DUPLICADO")))</f>
        <v>ATUALIZADO</v>
      </c>
    </row>
    <row r="52" ht="15.75" customHeight="1">
      <c r="A52" s="35">
        <v>2026.0</v>
      </c>
      <c r="B52" s="46" t="s">
        <v>493</v>
      </c>
      <c r="C52" s="37" t="s">
        <v>614</v>
      </c>
      <c r="D52" s="37" t="s">
        <v>98</v>
      </c>
      <c r="E52" s="73" t="s">
        <v>494</v>
      </c>
      <c r="F52" s="40" t="s">
        <v>101</v>
      </c>
      <c r="G52" s="41" t="s">
        <v>615</v>
      </c>
      <c r="H52" s="43">
        <v>3.23090000151E11</v>
      </c>
      <c r="I52" s="44">
        <v>46408.0</v>
      </c>
      <c r="J52" s="44">
        <f t="shared" si="2"/>
        <v>46245</v>
      </c>
      <c r="K52" s="44" t="str">
        <f t="shared" si="3"/>
        <v>ATIVO</v>
      </c>
      <c r="L52" s="46" t="s">
        <v>99</v>
      </c>
      <c r="M52" s="37" t="s">
        <v>69</v>
      </c>
      <c r="N52" s="37">
        <v>230390.0</v>
      </c>
      <c r="O52" s="47">
        <v>1000.0</v>
      </c>
      <c r="P52" s="40">
        <v>339037.0</v>
      </c>
      <c r="Q52" s="37">
        <v>157909.0</v>
      </c>
      <c r="R52" s="37" t="s">
        <v>102</v>
      </c>
      <c r="S52" s="40" t="s">
        <v>181</v>
      </c>
      <c r="T52" s="40"/>
      <c r="U52" s="40" t="s">
        <v>492</v>
      </c>
      <c r="V52" s="48">
        <f t="shared" ref="V52:W52" si="74">X52-Y52</f>
        <v>1</v>
      </c>
      <c r="W52" s="48">
        <f t="shared" si="74"/>
        <v>0.3221156278</v>
      </c>
      <c r="X52" s="48">
        <v>7.0</v>
      </c>
      <c r="Y52" s="48">
        <f t="shared" si="62"/>
        <v>6</v>
      </c>
      <c r="Z52" s="48">
        <f t="shared" si="63"/>
        <v>5.677884372</v>
      </c>
      <c r="AA52" s="37">
        <v>1.0</v>
      </c>
      <c r="AB52" s="70" t="s">
        <v>187</v>
      </c>
      <c r="AC52" s="50">
        <v>351687.19</v>
      </c>
      <c r="AD52" s="51">
        <f t="shared" si="71"/>
        <v>4220246.28</v>
      </c>
      <c r="AE52" s="51">
        <f>IF(COUNTIF(BASE_TG!$AC$2:$AC$1000,U52)=1,IF(AND(S52="SIM",ISNUMBER(AB52)),SUMIF(BASE_TG!$AC$2:$AC$1000,U52,BASE_TG!$AA$2:$AA$1000)*AB52,SUMIF(BASE_TG!$AC$2:$AC$1000,U52,BASE_TG!$AA$2:$AA$1000)),2110123.14)</f>
        <v>2110123.14</v>
      </c>
      <c r="AF52" s="51">
        <f t="shared" si="8"/>
        <v>113283.94</v>
      </c>
      <c r="AG52" s="52"/>
      <c r="AH52" s="53"/>
      <c r="AI52" s="51">
        <f t="shared" si="65"/>
        <v>0</v>
      </c>
      <c r="AJ52" s="54"/>
      <c r="AK52" s="54">
        <f>IF(COUNTIF(BASE_TG!$AC$2:$AC$1000,U52)=1,SUMIF(BASE_TG!$AC$2:$AC$1000,U52,BASE_TG!$AB$2:$AB$1000),"")</f>
        <v>113283.94</v>
      </c>
      <c r="AL52" s="55" t="str">
        <f>IF(OR(U52="",U52="-"),"SEM EMPENHO",IF(COUNTIF(BASE_TG!$AC$2:$AC$1000,U52)=0,"NÃO LOCALIZADO",IF(COUNTIF(BASE_TG!$AC$2:$AC$1000,U52)=1,"ATUALIZADO","DUPLICADO")))</f>
        <v>ATUALIZADO</v>
      </c>
    </row>
    <row r="53" ht="15.75" customHeight="1">
      <c r="A53" s="79">
        <v>2026.0</v>
      </c>
      <c r="B53" s="78" t="s">
        <v>500</v>
      </c>
      <c r="C53" s="79" t="s">
        <v>616</v>
      </c>
      <c r="D53" s="79" t="s">
        <v>616</v>
      </c>
      <c r="E53" s="116" t="s">
        <v>501</v>
      </c>
      <c r="F53" s="81" t="s">
        <v>390</v>
      </c>
      <c r="G53" s="102" t="s">
        <v>103</v>
      </c>
      <c r="H53" s="90">
        <v>7.759174000181E12</v>
      </c>
      <c r="I53" s="117">
        <v>46457.0</v>
      </c>
      <c r="J53" s="84">
        <f t="shared" si="2"/>
        <v>46245</v>
      </c>
      <c r="K53" s="84" t="str">
        <f t="shared" si="3"/>
        <v>ATIVO</v>
      </c>
      <c r="L53" s="79" t="s">
        <v>617</v>
      </c>
      <c r="M53" s="79" t="s">
        <v>69</v>
      </c>
      <c r="N53" s="79">
        <v>230390.0</v>
      </c>
      <c r="O53" s="85">
        <v>1000.0</v>
      </c>
      <c r="P53" s="79">
        <v>339040.0</v>
      </c>
      <c r="Q53" s="79">
        <v>157908.0</v>
      </c>
      <c r="R53" s="79" t="s">
        <v>82</v>
      </c>
      <c r="S53" s="81" t="s">
        <v>111</v>
      </c>
      <c r="T53" s="81"/>
      <c r="U53" s="81" t="s">
        <v>499</v>
      </c>
      <c r="V53" s="109">
        <f t="shared" ref="V53:W53" si="75">X53-Y53</f>
        <v>6</v>
      </c>
      <c r="W53" s="109">
        <f t="shared" si="75"/>
        <v>1.873294347</v>
      </c>
      <c r="X53" s="109">
        <v>6.0</v>
      </c>
      <c r="Y53" s="109">
        <f t="shared" si="62"/>
        <v>0</v>
      </c>
      <c r="Z53" s="109">
        <f t="shared" si="63"/>
        <v>-1.873294347</v>
      </c>
      <c r="AA53" s="79">
        <v>2.0</v>
      </c>
      <c r="AB53" s="49" t="str">
        <f t="shared" ref="AB53:AB56" si="77">AE53/SUM($AE$53:$AE$56)</f>
        <v>#DIV/0!</v>
      </c>
      <c r="AC53" s="88">
        <f t="shared" ref="AC53:AC56" si="78">AD53/12</f>
        <v>5130</v>
      </c>
      <c r="AD53" s="88">
        <v>61560.0</v>
      </c>
      <c r="AE53" s="118">
        <v>0.0</v>
      </c>
      <c r="AF53" s="87">
        <f t="shared" si="8"/>
        <v>9610</v>
      </c>
      <c r="AG53" s="119"/>
      <c r="AH53" s="53"/>
      <c r="AI53" s="51"/>
      <c r="AJ53" s="54"/>
      <c r="AK53" s="54">
        <f>IF(COUNTIF(BASE_TG!$AC$2:$AC$1000,U53)=1,SUMIF(BASE_TG!$AC$2:$AC$1000,U53,BASE_TG!$AB$2:$AB$1000),"")</f>
        <v>9610</v>
      </c>
      <c r="AL53" s="55" t="str">
        <f>IF(OR(U53="",U53="-"),"SEM EMPENHO",IF(COUNTIF(BASE_TG!$AC$2:$AC$1000,U53)=0,"NÃO LOCALIZADO",IF(COUNTIF(BASE_TG!$AC$2:$AC$1000,U53)=1,"ATUALIZADO","DUPLICADO")))</f>
        <v>ATUALIZADO</v>
      </c>
    </row>
    <row r="54" ht="15.75" customHeight="1">
      <c r="A54" s="79">
        <v>2026.0</v>
      </c>
      <c r="B54" s="78" t="s">
        <v>500</v>
      </c>
      <c r="C54" s="79" t="s">
        <v>616</v>
      </c>
      <c r="D54" s="79" t="s">
        <v>616</v>
      </c>
      <c r="E54" s="116" t="s">
        <v>501</v>
      </c>
      <c r="F54" s="81" t="s">
        <v>390</v>
      </c>
      <c r="G54" s="102" t="s">
        <v>103</v>
      </c>
      <c r="H54" s="90">
        <v>7.759174000181E12</v>
      </c>
      <c r="I54" s="117">
        <v>46457.0</v>
      </c>
      <c r="J54" s="84">
        <f t="shared" si="2"/>
        <v>46245</v>
      </c>
      <c r="K54" s="84" t="str">
        <f t="shared" si="3"/>
        <v>ATIVO</v>
      </c>
      <c r="L54" s="79" t="s">
        <v>617</v>
      </c>
      <c r="M54" s="79" t="s">
        <v>69</v>
      </c>
      <c r="N54" s="79">
        <v>230390.0</v>
      </c>
      <c r="O54" s="85">
        <v>1000.0</v>
      </c>
      <c r="P54" s="79">
        <v>339040.0</v>
      </c>
      <c r="Q54" s="79">
        <v>157908.0</v>
      </c>
      <c r="R54" s="79" t="s">
        <v>82</v>
      </c>
      <c r="S54" s="81" t="s">
        <v>111</v>
      </c>
      <c r="T54" s="81"/>
      <c r="U54" s="81" t="s">
        <v>499</v>
      </c>
      <c r="V54" s="109">
        <f t="shared" ref="V54:W54" si="76">X54-Y54</f>
        <v>6</v>
      </c>
      <c r="W54" s="109">
        <f t="shared" si="76"/>
        <v>2.745714286</v>
      </c>
      <c r="X54" s="109">
        <v>6.0</v>
      </c>
      <c r="Y54" s="109">
        <f t="shared" si="62"/>
        <v>0</v>
      </c>
      <c r="Z54" s="109">
        <f t="shared" si="63"/>
        <v>-2.745714286</v>
      </c>
      <c r="AA54" s="79">
        <v>1.0</v>
      </c>
      <c r="AB54" s="49" t="str">
        <f t="shared" si="77"/>
        <v>#DIV/0!</v>
      </c>
      <c r="AC54" s="88">
        <f t="shared" si="78"/>
        <v>3500</v>
      </c>
      <c r="AD54" s="88">
        <v>42000.0</v>
      </c>
      <c r="AE54" s="118">
        <v>0.0</v>
      </c>
      <c r="AF54" s="87">
        <f t="shared" si="8"/>
        <v>9610</v>
      </c>
      <c r="AG54" s="119"/>
      <c r="AH54" s="53"/>
      <c r="AI54" s="51"/>
      <c r="AJ54" s="54"/>
      <c r="AK54" s="54">
        <f>IF(COUNTIF(BASE_TG!$AC$2:$AC$1000,U54)=1,SUMIF(BASE_TG!$AC$2:$AC$1000,U54,BASE_TG!$AB$2:$AB$1000),"")</f>
        <v>9610</v>
      </c>
      <c r="AL54" s="55" t="str">
        <f>IF(OR(U54="",U54="-"),"SEM EMPENHO",IF(COUNTIF(BASE_TG!$AC$2:$AC$1000,U54)=0,"NÃO LOCALIZADO",IF(COUNTIF(BASE_TG!$AC$2:$AC$1000,U54)=1,"ATUALIZADO","DUPLICADO")))</f>
        <v>ATUALIZADO</v>
      </c>
    </row>
    <row r="55" ht="15.75" customHeight="1">
      <c r="A55" s="79">
        <v>2026.0</v>
      </c>
      <c r="B55" s="78" t="s">
        <v>500</v>
      </c>
      <c r="C55" s="79" t="s">
        <v>616</v>
      </c>
      <c r="D55" s="79" t="s">
        <v>616</v>
      </c>
      <c r="E55" s="116" t="s">
        <v>501</v>
      </c>
      <c r="F55" s="81" t="s">
        <v>390</v>
      </c>
      <c r="G55" s="102" t="s">
        <v>103</v>
      </c>
      <c r="H55" s="90">
        <v>7.759174000181E12</v>
      </c>
      <c r="I55" s="117">
        <v>46457.0</v>
      </c>
      <c r="J55" s="84">
        <f t="shared" si="2"/>
        <v>46245</v>
      </c>
      <c r="K55" s="84" t="str">
        <f t="shared" si="3"/>
        <v>ATIVO</v>
      </c>
      <c r="L55" s="79" t="s">
        <v>617</v>
      </c>
      <c r="M55" s="79" t="s">
        <v>69</v>
      </c>
      <c r="N55" s="79">
        <v>230390.0</v>
      </c>
      <c r="O55" s="85">
        <v>1000.0</v>
      </c>
      <c r="P55" s="79">
        <v>339040.0</v>
      </c>
      <c r="Q55" s="79">
        <v>157908.0</v>
      </c>
      <c r="R55" s="79" t="s">
        <v>82</v>
      </c>
      <c r="S55" s="81" t="s">
        <v>111</v>
      </c>
      <c r="T55" s="81"/>
      <c r="U55" s="81" t="s">
        <v>499</v>
      </c>
      <c r="V55" s="109">
        <f t="shared" ref="V55:W55" si="79">X55-Y55</f>
        <v>6</v>
      </c>
      <c r="W55" s="109">
        <f t="shared" si="79"/>
        <v>16.56896552</v>
      </c>
      <c r="X55" s="109">
        <v>6.0</v>
      </c>
      <c r="Y55" s="109">
        <f t="shared" si="62"/>
        <v>0</v>
      </c>
      <c r="Z55" s="109">
        <f t="shared" si="63"/>
        <v>-16.56896552</v>
      </c>
      <c r="AA55" s="79">
        <v>4.0</v>
      </c>
      <c r="AB55" s="49" t="str">
        <f t="shared" si="77"/>
        <v>#DIV/0!</v>
      </c>
      <c r="AC55" s="88">
        <f t="shared" si="78"/>
        <v>580</v>
      </c>
      <c r="AD55" s="88">
        <v>6960.0</v>
      </c>
      <c r="AE55" s="118">
        <v>0.0</v>
      </c>
      <c r="AF55" s="87">
        <f t="shared" si="8"/>
        <v>9610</v>
      </c>
      <c r="AG55" s="119"/>
      <c r="AH55" s="53"/>
      <c r="AI55" s="51"/>
      <c r="AJ55" s="54"/>
      <c r="AK55" s="54">
        <f>IF(COUNTIF(BASE_TG!$AC$2:$AC$1000,U55)=1,SUMIF(BASE_TG!$AC$2:$AC$1000,U55,BASE_TG!$AB$2:$AB$1000),"")</f>
        <v>9610</v>
      </c>
      <c r="AL55" s="55" t="str">
        <f>IF(OR(U55="",U55="-"),"SEM EMPENHO",IF(COUNTIF(BASE_TG!$AC$2:$AC$1000,U55)=0,"NÃO LOCALIZADO",IF(COUNTIF(BASE_TG!$AC$2:$AC$1000,U55)=1,"ATUALIZADO","DUPLICADO")))</f>
        <v>ATUALIZADO</v>
      </c>
    </row>
    <row r="56" ht="19.5" customHeight="1">
      <c r="A56" s="120">
        <v>2026.0</v>
      </c>
      <c r="B56" s="78" t="s">
        <v>500</v>
      </c>
      <c r="C56" s="79" t="s">
        <v>616</v>
      </c>
      <c r="D56" s="79" t="s">
        <v>616</v>
      </c>
      <c r="E56" s="116" t="s">
        <v>501</v>
      </c>
      <c r="F56" s="81" t="s">
        <v>390</v>
      </c>
      <c r="G56" s="102" t="s">
        <v>103</v>
      </c>
      <c r="H56" s="90">
        <v>7.759174000181E12</v>
      </c>
      <c r="I56" s="117">
        <v>46457.0</v>
      </c>
      <c r="J56" s="84">
        <f t="shared" si="2"/>
        <v>46245</v>
      </c>
      <c r="K56" s="84" t="str">
        <f t="shared" si="3"/>
        <v>ATIVO</v>
      </c>
      <c r="L56" s="79" t="s">
        <v>617</v>
      </c>
      <c r="M56" s="79" t="s">
        <v>69</v>
      </c>
      <c r="N56" s="79">
        <v>230390.0</v>
      </c>
      <c r="O56" s="85">
        <v>1000.0</v>
      </c>
      <c r="P56" s="79">
        <v>339040.0</v>
      </c>
      <c r="Q56" s="79">
        <v>157908.0</v>
      </c>
      <c r="R56" s="79" t="s">
        <v>82</v>
      </c>
      <c r="S56" s="81" t="s">
        <v>111</v>
      </c>
      <c r="T56" s="81"/>
      <c r="U56" s="81" t="s">
        <v>499</v>
      </c>
      <c r="V56" s="109">
        <f t="shared" ref="V56:W56" si="80">X56-Y56</f>
        <v>6</v>
      </c>
      <c r="W56" s="109">
        <f t="shared" si="80"/>
        <v>24.025</v>
      </c>
      <c r="X56" s="109">
        <v>6.0</v>
      </c>
      <c r="Y56" s="109">
        <f t="shared" si="62"/>
        <v>0</v>
      </c>
      <c r="Z56" s="109">
        <f t="shared" si="63"/>
        <v>-24.025</v>
      </c>
      <c r="AA56" s="79">
        <v>3.0</v>
      </c>
      <c r="AB56" s="49" t="str">
        <f t="shared" si="77"/>
        <v>#DIV/0!</v>
      </c>
      <c r="AC56" s="88">
        <f t="shared" si="78"/>
        <v>400</v>
      </c>
      <c r="AD56" s="88">
        <v>4800.0</v>
      </c>
      <c r="AE56" s="118">
        <v>0.0</v>
      </c>
      <c r="AF56" s="87">
        <f t="shared" si="8"/>
        <v>9610</v>
      </c>
      <c r="AG56" s="121"/>
      <c r="AH56" s="53"/>
      <c r="AI56" s="53"/>
      <c r="AJ56" s="54"/>
      <c r="AK56" s="54">
        <f>IF(COUNTIF(BASE_TG!$AC$2:$AC$1000,U56)=1,SUMIF(BASE_TG!$AC$2:$AC$1000,U56,BASE_TG!$AB$2:$AB$1000),"")</f>
        <v>9610</v>
      </c>
      <c r="AL56" s="55" t="str">
        <f>IF(OR(U56="",U56="-"),"SEM EMPENHO",IF(COUNTIF(BASE_TG!$AC$2:$AC$1000,U56)=0,"NÃO LOCALIZADO",IF(COUNTIF(BASE_TG!$AC$2:$AC$1000,U56)=1,"ATUALIZADO","DUPLICADO")))</f>
        <v>ATUALIZADO</v>
      </c>
    </row>
    <row r="57" ht="19.5" customHeight="1">
      <c r="A57" s="56">
        <v>2026.0</v>
      </c>
      <c r="B57" s="34" t="s">
        <v>507</v>
      </c>
      <c r="C57" s="35" t="s">
        <v>618</v>
      </c>
      <c r="D57" s="35" t="s">
        <v>618</v>
      </c>
      <c r="E57" s="110" t="s">
        <v>508</v>
      </c>
      <c r="F57" s="40" t="s">
        <v>619</v>
      </c>
      <c r="G57" s="41" t="s">
        <v>103</v>
      </c>
      <c r="H57" s="43">
        <v>2.8000129E7</v>
      </c>
      <c r="I57" s="44">
        <v>46438.0</v>
      </c>
      <c r="J57" s="44">
        <f t="shared" si="2"/>
        <v>46245</v>
      </c>
      <c r="K57" s="44" t="str">
        <f t="shared" si="3"/>
        <v>ATIVO</v>
      </c>
      <c r="L57" s="37" t="s">
        <v>109</v>
      </c>
      <c r="M57" s="37" t="s">
        <v>69</v>
      </c>
      <c r="N57" s="37">
        <v>230390.0</v>
      </c>
      <c r="O57" s="47">
        <v>1000.0</v>
      </c>
      <c r="P57" s="35">
        <v>339040.0</v>
      </c>
      <c r="Q57" s="35">
        <v>157842.0</v>
      </c>
      <c r="R57" s="37" t="s">
        <v>82</v>
      </c>
      <c r="S57" s="40" t="s">
        <v>181</v>
      </c>
      <c r="T57" s="58"/>
      <c r="U57" s="40" t="s">
        <v>504</v>
      </c>
      <c r="V57" s="48">
        <f t="shared" ref="V57:W57" si="81">X57-Y57</f>
        <v>6</v>
      </c>
      <c r="W57" s="48">
        <f t="shared" si="81"/>
        <v>0</v>
      </c>
      <c r="X57" s="48">
        <v>6.0</v>
      </c>
      <c r="Y57" s="48"/>
      <c r="Z57" s="48"/>
      <c r="AA57" s="35">
        <v>1.0</v>
      </c>
      <c r="AB57" s="65"/>
      <c r="AC57" s="65"/>
      <c r="AD57" s="65">
        <v>9222.0</v>
      </c>
      <c r="AE57" s="51">
        <f>IF(COUNTIF(BASE_TG!$AC$2:$AC$1000,U57)=1,IF(AND(S57="SIM",ISNUMBER(AB57)),SUMIF(BASE_TG!$AC$2:$AC$1000,U57,BASE_TG!$AA$2:$AA$1000)*AB57,SUMIF(BASE_TG!$AC$2:$AC$1000,U57,BASE_TG!$AA$2:$AA$1000)),9222)</f>
        <v>9222</v>
      </c>
      <c r="AF57" s="51">
        <f t="shared" si="8"/>
        <v>0</v>
      </c>
      <c r="AG57" s="119"/>
      <c r="AH57" s="53"/>
      <c r="AI57" s="51"/>
      <c r="AJ57" s="54"/>
      <c r="AK57" s="54">
        <f>IF(COUNTIF(BASE_TG!$AC$2:$AC$1000,U57)=1,SUMIF(BASE_TG!$AC$2:$AC$1000,U57,BASE_TG!$AB$2:$AB$1000),"")</f>
        <v>0</v>
      </c>
      <c r="AL57" s="55" t="str">
        <f>IF(OR(U57="",U57="-"),"SEM EMPENHO",IF(COUNTIF(BASE_TG!$AC$2:$AC$1000,U57)=0,"NÃO LOCALIZADO",IF(COUNTIF(BASE_TG!$AC$2:$AC$1000,U57)=1,"ATUALIZADO","DUPLICADO")))</f>
        <v>ATUALIZADO</v>
      </c>
    </row>
    <row r="58" ht="15.75" customHeight="1">
      <c r="A58" s="35" t="str">
        <f t="shared" ref="A58:A59" si="83">RIGHT(B58,4)</f>
        <v>2021</v>
      </c>
      <c r="B58" s="46" t="s">
        <v>518</v>
      </c>
      <c r="C58" s="35" t="s">
        <v>620</v>
      </c>
      <c r="D58" s="37" t="s">
        <v>98</v>
      </c>
      <c r="E58" s="62" t="s">
        <v>519</v>
      </c>
      <c r="F58" s="40" t="s">
        <v>101</v>
      </c>
      <c r="G58" s="41" t="s">
        <v>103</v>
      </c>
      <c r="H58" s="43">
        <v>7.67474400013E12</v>
      </c>
      <c r="I58" s="44">
        <v>46312.0</v>
      </c>
      <c r="J58" s="44">
        <f t="shared" si="2"/>
        <v>46245</v>
      </c>
      <c r="K58" s="44" t="str">
        <f t="shared" si="3"/>
        <v>ATIVO</v>
      </c>
      <c r="L58" s="37" t="s">
        <v>180</v>
      </c>
      <c r="M58" s="37" t="s">
        <v>69</v>
      </c>
      <c r="N58" s="37">
        <v>230390.0</v>
      </c>
      <c r="O58" s="47">
        <v>1000.0</v>
      </c>
      <c r="P58" s="40">
        <v>339040.0</v>
      </c>
      <c r="Q58" s="37">
        <v>157658.0</v>
      </c>
      <c r="R58" s="40" t="s">
        <v>586</v>
      </c>
      <c r="S58" s="40" t="s">
        <v>111</v>
      </c>
      <c r="T58" s="40"/>
      <c r="U58" s="40" t="s">
        <v>517</v>
      </c>
      <c r="V58" s="48">
        <f t="shared" ref="V58:W58" si="82">X58-Y58</f>
        <v>1.000004409</v>
      </c>
      <c r="W58" s="48">
        <f t="shared" si="82"/>
        <v>0.0004860932505</v>
      </c>
      <c r="X58" s="48">
        <v>7.0</v>
      </c>
      <c r="Y58" s="48">
        <f t="shared" ref="Y58:Y60" si="85">AE58/AC58</f>
        <v>5.999995591</v>
      </c>
      <c r="Z58" s="48">
        <f t="shared" ref="Z58:Z60" si="86">(AE58-AF58)/AC58</f>
        <v>5.999509498</v>
      </c>
      <c r="AA58" s="37">
        <v>1.0</v>
      </c>
      <c r="AB58" s="49">
        <v>0.7</v>
      </c>
      <c r="AC58" s="115">
        <v>5443.4</v>
      </c>
      <c r="AD58" s="51">
        <f t="shared" ref="AD58:AD59" si="87">AC58*12</f>
        <v>65320.8</v>
      </c>
      <c r="AE58" s="51">
        <f>IF(COUNTIF(BASE_TG!$AC$2:$AC$1000,U58)=1,IF(AND(S58="SIM",ISNUMBER(AB58)),SUMIF(BASE_TG!$AC$2:$AC$1000,U58,BASE_TG!$AA$2:$AA$1000)*AB58,SUMIF(BASE_TG!$AC$2:$AC$1000,U58,BASE_TG!$AA$2:$AA$1000)),32660.4)</f>
        <v>32660.376</v>
      </c>
      <c r="AF58" s="51">
        <f t="shared" si="8"/>
        <v>2.646</v>
      </c>
      <c r="AG58" s="52"/>
      <c r="AH58" s="53"/>
      <c r="AI58" s="51">
        <f t="shared" ref="AI58:AI60" si="88">AC58*AH58</f>
        <v>0</v>
      </c>
      <c r="AJ58" s="54"/>
      <c r="AK58" s="54">
        <f>IF(COUNTIF(BASE_TG!$AC$2:$AC$1000,U58)=1,SUMIF(BASE_TG!$AC$2:$AC$1000,U58,BASE_TG!$AB$2:$AB$1000),"")</f>
        <v>3.78</v>
      </c>
      <c r="AL58" s="55" t="str">
        <f>IF(OR(U58="",U58="-"),"SEM EMPENHO",IF(COUNTIF(BASE_TG!$AC$2:$AC$1000,U58)=0,"NÃO LOCALIZADO",IF(COUNTIF(BASE_TG!$AC$2:$AC$1000,U58)=1,"ATUALIZADO","DUPLICADO")))</f>
        <v>ATUALIZADO</v>
      </c>
    </row>
    <row r="59" ht="15.75" customHeight="1">
      <c r="A59" s="56" t="str">
        <f t="shared" si="83"/>
        <v>2021</v>
      </c>
      <c r="B59" s="46" t="s">
        <v>518</v>
      </c>
      <c r="C59" s="35" t="s">
        <v>620</v>
      </c>
      <c r="D59" s="37" t="s">
        <v>98</v>
      </c>
      <c r="E59" s="62" t="s">
        <v>519</v>
      </c>
      <c r="F59" s="40" t="s">
        <v>101</v>
      </c>
      <c r="G59" s="41" t="s">
        <v>103</v>
      </c>
      <c r="H59" s="43">
        <v>7.67474400013E12</v>
      </c>
      <c r="I59" s="44">
        <v>46312.0</v>
      </c>
      <c r="J59" s="44">
        <f t="shared" si="2"/>
        <v>46245</v>
      </c>
      <c r="K59" s="44" t="str">
        <f t="shared" si="3"/>
        <v>ATIVO</v>
      </c>
      <c r="L59" s="37" t="s">
        <v>180</v>
      </c>
      <c r="M59" s="37" t="s">
        <v>69</v>
      </c>
      <c r="N59" s="37">
        <v>230390.0</v>
      </c>
      <c r="O59" s="47">
        <v>1000.0</v>
      </c>
      <c r="P59" s="40">
        <v>339040.0</v>
      </c>
      <c r="Q59" s="37">
        <v>157658.0</v>
      </c>
      <c r="R59" s="40" t="s">
        <v>586</v>
      </c>
      <c r="S59" s="40" t="s">
        <v>111</v>
      </c>
      <c r="T59" s="40"/>
      <c r="U59" s="40" t="s">
        <v>517</v>
      </c>
      <c r="V59" s="48">
        <f t="shared" ref="V59:W59" si="84">X59-Y59</f>
        <v>0.9999897123</v>
      </c>
      <c r="W59" s="48">
        <f t="shared" si="84"/>
        <v>0.0004860944412</v>
      </c>
      <c r="X59" s="48">
        <v>7.0</v>
      </c>
      <c r="Y59" s="48">
        <f t="shared" si="85"/>
        <v>6.000010288</v>
      </c>
      <c r="Z59" s="48">
        <f t="shared" si="86"/>
        <v>5.999524193</v>
      </c>
      <c r="AA59" s="37">
        <v>2.0</v>
      </c>
      <c r="AB59" s="49">
        <v>0.3</v>
      </c>
      <c r="AC59" s="115">
        <v>2332.88</v>
      </c>
      <c r="AD59" s="51">
        <f t="shared" si="87"/>
        <v>27994.56</v>
      </c>
      <c r="AE59" s="51">
        <f>IF(COUNTIF(BASE_TG!$AC$2:$AC$1000,U59)=1,IF(AND(S59="SIM",ISNUMBER(AB59)),SUMIF(BASE_TG!$AC$2:$AC$1000,U59,BASE_TG!$AA$2:$AA$1000)*AB59,SUMIF(BASE_TG!$AC$2:$AC$1000,U59,BASE_TG!$AA$2:$AA$1000)),13997.28)</f>
        <v>13997.304</v>
      </c>
      <c r="AF59" s="51">
        <f t="shared" si="8"/>
        <v>1.134</v>
      </c>
      <c r="AG59" s="106"/>
      <c r="AH59" s="53"/>
      <c r="AI59" s="51">
        <f t="shared" si="88"/>
        <v>0</v>
      </c>
      <c r="AJ59" s="54"/>
      <c r="AK59" s="54">
        <f>IF(COUNTIF(BASE_TG!$AC$2:$AC$1000,U59)=1,SUMIF(BASE_TG!$AC$2:$AC$1000,U59,BASE_TG!$AB$2:$AB$1000),"")</f>
        <v>3.78</v>
      </c>
      <c r="AL59" s="55" t="str">
        <f>IF(OR(U59="",U59="-"),"SEM EMPENHO",IF(COUNTIF(BASE_TG!$AC$2:$AC$1000,U59)=0,"NÃO LOCALIZADO",IF(COUNTIF(BASE_TG!$AC$2:$AC$1000,U59)=1,"ATUALIZADO","DUPLICADO")))</f>
        <v>ATUALIZADO</v>
      </c>
    </row>
    <row r="60" ht="19.5" customHeight="1">
      <c r="A60" s="122">
        <v>2026.0</v>
      </c>
      <c r="B60" s="46"/>
      <c r="C60" s="123" t="s">
        <v>621</v>
      </c>
      <c r="D60" s="123" t="s">
        <v>621</v>
      </c>
      <c r="E60" s="124" t="s">
        <v>622</v>
      </c>
      <c r="F60" s="40" t="s">
        <v>101</v>
      </c>
      <c r="G60" s="40" t="s">
        <v>611</v>
      </c>
      <c r="H60" s="125">
        <v>8.717223000186E12</v>
      </c>
      <c r="I60" s="126">
        <v>46597.0</v>
      </c>
      <c r="J60" s="44">
        <f t="shared" si="2"/>
        <v>46245</v>
      </c>
      <c r="K60" s="44" t="str">
        <f t="shared" si="3"/>
        <v>ATIVO</v>
      </c>
      <c r="L60" s="46" t="s">
        <v>99</v>
      </c>
      <c r="M60" s="37" t="s">
        <v>69</v>
      </c>
      <c r="N60" s="37">
        <v>230390.0</v>
      </c>
      <c r="O60" s="47">
        <v>1000.0</v>
      </c>
      <c r="P60" s="37">
        <v>339037.0</v>
      </c>
      <c r="Q60" s="40">
        <v>157909.0</v>
      </c>
      <c r="R60" s="37" t="s">
        <v>102</v>
      </c>
      <c r="S60" s="40" t="s">
        <v>181</v>
      </c>
      <c r="T60" s="40"/>
      <c r="U60" s="127" t="s">
        <v>623</v>
      </c>
      <c r="V60" s="48">
        <f t="shared" ref="V60:W60" si="89">X60-Y60</f>
        <v>6.024388122</v>
      </c>
      <c r="W60" s="48">
        <f t="shared" si="89"/>
        <v>0.9756118781</v>
      </c>
      <c r="X60" s="48">
        <v>7.0</v>
      </c>
      <c r="Y60" s="48">
        <f t="shared" si="85"/>
        <v>0.9756118781</v>
      </c>
      <c r="Z60" s="48">
        <f t="shared" si="86"/>
        <v>0</v>
      </c>
      <c r="AA60" s="37">
        <v>1.0</v>
      </c>
      <c r="AB60" s="64" t="s">
        <v>187</v>
      </c>
      <c r="AC60" s="65">
        <f>AD60/12</f>
        <v>811943.62</v>
      </c>
      <c r="AD60" s="128">
        <v>9743323.44</v>
      </c>
      <c r="AE60" s="51">
        <f>IF(COUNTIF(BASE_TG!$AC$2:$AC$1000,U60)=1,IF(AND(S60="SIM",ISNUMBER(AB60)),SUMIF(BASE_TG!$AC$2:$AC$1000,U60,BASE_TG!$AA$2:$AA$1000)*AB60,SUMIF(BASE_TG!$AC$2:$AC$1000,U60,BASE_TG!$AA$2:$AA$1000)),4947782.46)</f>
        <v>792141.84</v>
      </c>
      <c r="AF60" s="51">
        <f t="shared" si="8"/>
        <v>792141.84</v>
      </c>
      <c r="AG60" s="52"/>
      <c r="AH60" s="53"/>
      <c r="AI60" s="51">
        <f t="shared" si="88"/>
        <v>0</v>
      </c>
      <c r="AJ60" s="54"/>
      <c r="AK60" s="54">
        <f>IF(COUNTIF(BASE_TG!$AC$2:$AC$1000,U60)=1,SUMIF(BASE_TG!$AC$2:$AC$1000,U60,BASE_TG!$AB$2:$AB$1000),"")</f>
        <v>792141.84</v>
      </c>
      <c r="AL60" s="55" t="str">
        <f>IF(OR(U60="",U60="-"),"SEM EMPENHO",IF(COUNTIF(BASE_TG!$AC$2:$AC$1000,U60)=0,"NÃO LOCALIZADO",IF(COUNTIF(BASE_TG!$AC$2:$AC$1000,U60)=1,"ATUALIZADO","DUPLICADO")))</f>
        <v>ATUALIZADO</v>
      </c>
    </row>
    <row r="61" ht="15.75" customHeight="1">
      <c r="A61" s="129"/>
      <c r="B61" s="130"/>
      <c r="C61" s="129"/>
      <c r="D61" s="129"/>
      <c r="E61" s="131"/>
      <c r="F61" s="132"/>
      <c r="G61" s="133"/>
      <c r="H61" s="134"/>
      <c r="I61" s="134"/>
      <c r="J61" s="135"/>
      <c r="K61" s="134"/>
      <c r="L61" s="37"/>
      <c r="M61" s="35"/>
      <c r="N61" s="35"/>
      <c r="O61" s="136"/>
      <c r="P61" s="35"/>
      <c r="Q61" s="35"/>
      <c r="R61" s="35"/>
      <c r="S61" s="132"/>
      <c r="T61" s="132"/>
      <c r="U61" s="132"/>
      <c r="V61" s="132"/>
      <c r="W61" s="132"/>
      <c r="X61" s="132"/>
      <c r="Y61" s="132"/>
      <c r="Z61" s="132"/>
      <c r="AA61" s="35"/>
      <c r="AB61" s="52"/>
      <c r="AC61" s="52">
        <f t="shared" ref="AC61:AD61" si="90">SUBTOTAL(9,AC6:AC59)</f>
        <v>5522045.156</v>
      </c>
      <c r="AD61" s="52">
        <f t="shared" si="90"/>
        <v>66599433.01</v>
      </c>
      <c r="AE61" s="52">
        <f>SUBTOTAL(9,AE2:AE59)</f>
        <v>29553046.36</v>
      </c>
      <c r="AF61" s="52">
        <f t="shared" ref="AF61:AI61" si="91">SUBTOTAL(9,AF6:AF59)</f>
        <v>6224762.743</v>
      </c>
      <c r="AG61" s="52">
        <f t="shared" si="91"/>
        <v>0</v>
      </c>
      <c r="AH61" s="52">
        <f t="shared" si="91"/>
        <v>0</v>
      </c>
      <c r="AI61" s="52">
        <f t="shared" si="91"/>
        <v>0</v>
      </c>
      <c r="AJ61" s="54">
        <f>SUBTOTAL(9,AJ2:AJ59)</f>
        <v>0</v>
      </c>
      <c r="AK61" s="54"/>
      <c r="AL61" s="55" t="str">
        <f>COUNTIF(AL2:AL59,"ATUALIZADO")&amp;" atualizados"</f>
        <v>52 atualizados</v>
      </c>
    </row>
    <row r="62" ht="15.75" customHeight="1">
      <c r="I62" s="137"/>
      <c r="J62" s="137"/>
    </row>
    <row r="63" ht="15.75" customHeight="1">
      <c r="A63" s="129"/>
      <c r="B63" s="130"/>
      <c r="C63" s="129"/>
      <c r="D63" s="129"/>
      <c r="E63" s="138"/>
      <c r="F63" s="139"/>
      <c r="G63" s="140"/>
      <c r="H63" s="141"/>
      <c r="I63" s="142"/>
      <c r="J63" s="143"/>
      <c r="K63" s="141"/>
      <c r="L63" s="144"/>
      <c r="M63" s="129"/>
      <c r="N63" s="129"/>
      <c r="O63" s="145"/>
      <c r="P63" s="129"/>
      <c r="Q63" s="129"/>
      <c r="R63" s="129"/>
      <c r="S63" s="139"/>
      <c r="T63" s="139"/>
      <c r="U63" s="139"/>
      <c r="V63" s="139"/>
      <c r="W63" s="139"/>
      <c r="X63" s="139"/>
      <c r="Y63" s="139"/>
      <c r="Z63" s="139"/>
      <c r="AA63" s="129"/>
      <c r="AB63" s="146"/>
      <c r="AC63" s="147"/>
      <c r="AD63" s="148"/>
      <c r="AE63" s="149"/>
      <c r="AF63" s="149"/>
      <c r="AG63" s="150"/>
      <c r="AH63" s="150"/>
      <c r="AI63" s="151"/>
    </row>
    <row r="64" ht="15.75" customHeight="1">
      <c r="A64" s="129"/>
      <c r="B64" s="130"/>
      <c r="C64" s="129"/>
      <c r="D64" s="129"/>
      <c r="E64" s="138"/>
      <c r="F64" s="139"/>
      <c r="G64" s="140"/>
      <c r="H64" s="141"/>
      <c r="I64" s="142"/>
      <c r="J64" s="143"/>
      <c r="K64" s="141"/>
      <c r="L64" s="144"/>
      <c r="M64" s="129"/>
      <c r="N64" s="129"/>
      <c r="O64" s="145"/>
      <c r="P64" s="129"/>
      <c r="Q64" s="129"/>
      <c r="R64" s="129"/>
      <c r="S64" s="139"/>
      <c r="T64" s="139"/>
      <c r="U64" s="139"/>
      <c r="V64" s="139"/>
      <c r="W64" s="139"/>
      <c r="X64" s="139"/>
      <c r="Y64" s="139"/>
      <c r="Z64" s="139"/>
      <c r="AA64" s="129"/>
      <c r="AB64" s="146"/>
      <c r="AC64" s="147"/>
      <c r="AD64" s="149"/>
      <c r="AE64" s="149"/>
      <c r="AF64" s="149"/>
      <c r="AG64" s="150"/>
      <c r="AH64" s="150"/>
      <c r="AI64" s="151"/>
    </row>
    <row r="65" ht="15.75" customHeight="1">
      <c r="A65" s="129"/>
      <c r="B65" s="130"/>
      <c r="C65" s="129"/>
      <c r="D65" s="129"/>
      <c r="E65" s="138"/>
      <c r="F65" s="139"/>
      <c r="G65" s="140"/>
      <c r="H65" s="141"/>
      <c r="I65" s="142"/>
      <c r="J65" s="143"/>
      <c r="K65" s="141"/>
      <c r="L65" s="144"/>
      <c r="M65" s="129"/>
      <c r="N65" s="129"/>
      <c r="O65" s="145"/>
      <c r="P65" s="129"/>
      <c r="Q65" s="129"/>
      <c r="R65" s="129"/>
      <c r="S65" s="139"/>
      <c r="T65" s="139"/>
      <c r="U65" s="139"/>
      <c r="V65" s="139"/>
      <c r="W65" s="139"/>
      <c r="X65" s="139"/>
      <c r="Y65" s="139"/>
      <c r="Z65" s="139"/>
      <c r="AA65" s="129"/>
      <c r="AB65" s="146"/>
      <c r="AC65" s="147"/>
      <c r="AD65" s="149"/>
      <c r="AE65" s="149"/>
      <c r="AF65" s="149"/>
      <c r="AG65" s="150"/>
      <c r="AH65" s="150"/>
      <c r="AI65" s="151"/>
    </row>
    <row r="66" ht="15.75" customHeight="1">
      <c r="A66" s="129"/>
      <c r="B66" s="130"/>
      <c r="C66" s="129"/>
      <c r="D66" s="129"/>
      <c r="E66" s="138"/>
      <c r="F66" s="139"/>
      <c r="G66" s="140"/>
      <c r="H66" s="141"/>
      <c r="I66" s="142"/>
      <c r="J66" s="143"/>
      <c r="K66" s="141"/>
      <c r="L66" s="144"/>
      <c r="M66" s="129"/>
      <c r="N66" s="129"/>
      <c r="O66" s="145"/>
      <c r="P66" s="129"/>
      <c r="Q66" s="129"/>
      <c r="R66" s="129"/>
      <c r="S66" s="139"/>
      <c r="T66" s="139"/>
      <c r="U66" s="139"/>
      <c r="V66" s="139"/>
      <c r="W66" s="139"/>
      <c r="X66" s="139"/>
      <c r="Y66" s="139"/>
      <c r="Z66" s="139"/>
      <c r="AA66" s="129"/>
      <c r="AB66" s="152"/>
      <c r="AC66" s="99"/>
      <c r="AD66" s="149"/>
      <c r="AE66" s="149"/>
      <c r="AF66" s="149"/>
      <c r="AG66" s="150"/>
      <c r="AH66" s="150"/>
      <c r="AI66" s="151"/>
    </row>
    <row r="67" ht="15.75" customHeight="1">
      <c r="A67" s="129"/>
      <c r="B67" s="130"/>
      <c r="C67" s="129"/>
      <c r="D67" s="129"/>
      <c r="E67" s="138"/>
      <c r="F67" s="139"/>
      <c r="G67" s="140"/>
      <c r="H67" s="141"/>
      <c r="I67" s="142"/>
      <c r="J67" s="143"/>
      <c r="K67" s="141"/>
      <c r="L67" s="144"/>
      <c r="M67" s="129"/>
      <c r="N67" s="129"/>
      <c r="O67" s="145"/>
      <c r="P67" s="129"/>
      <c r="Q67" s="129"/>
      <c r="R67" s="129"/>
      <c r="S67" s="139"/>
      <c r="T67" s="139"/>
      <c r="U67" s="139"/>
      <c r="V67" s="139"/>
      <c r="W67" s="139"/>
      <c r="X67" s="139"/>
      <c r="Y67" s="139"/>
      <c r="Z67" s="139"/>
      <c r="AA67" s="129"/>
      <c r="AB67" s="146"/>
      <c r="AC67" s="147"/>
      <c r="AD67" s="149"/>
      <c r="AE67" s="149"/>
      <c r="AF67" s="149"/>
      <c r="AG67" s="150"/>
      <c r="AH67" s="150"/>
      <c r="AI67" s="151"/>
    </row>
    <row r="68" ht="15.75" customHeight="1">
      <c r="A68" s="129"/>
      <c r="B68" s="130"/>
      <c r="C68" s="129"/>
      <c r="D68" s="129"/>
      <c r="E68" s="138"/>
      <c r="F68" s="139"/>
      <c r="G68" s="140"/>
      <c r="H68" s="141"/>
      <c r="I68" s="142"/>
      <c r="J68" s="143"/>
      <c r="K68" s="141"/>
      <c r="L68" s="144"/>
      <c r="M68" s="129"/>
      <c r="N68" s="129"/>
      <c r="O68" s="145"/>
      <c r="P68" s="129"/>
      <c r="Q68" s="129"/>
      <c r="R68" s="129"/>
      <c r="S68" s="139"/>
      <c r="T68" s="139"/>
      <c r="U68" s="139"/>
      <c r="V68" s="139"/>
      <c r="W68" s="139"/>
      <c r="X68" s="139"/>
      <c r="Y68" s="139"/>
      <c r="Z68" s="139"/>
      <c r="AA68" s="129"/>
      <c r="AB68" s="146"/>
      <c r="AC68" s="147"/>
      <c r="AD68" s="149"/>
      <c r="AE68" s="149"/>
      <c r="AF68" s="149"/>
      <c r="AG68" s="150"/>
      <c r="AH68" s="150"/>
      <c r="AI68" s="151"/>
    </row>
    <row r="69" ht="15.75" customHeight="1">
      <c r="A69" s="129"/>
      <c r="B69" s="130"/>
      <c r="C69" s="129"/>
      <c r="D69" s="129"/>
      <c r="E69" s="138"/>
      <c r="F69" s="139"/>
      <c r="G69" s="140"/>
      <c r="H69" s="141"/>
      <c r="I69" s="142"/>
      <c r="J69" s="143"/>
      <c r="K69" s="141"/>
      <c r="L69" s="144"/>
      <c r="M69" s="129"/>
      <c r="N69" s="129"/>
      <c r="O69" s="145"/>
      <c r="P69" s="129"/>
      <c r="Q69" s="129"/>
      <c r="R69" s="129"/>
      <c r="S69" s="139"/>
      <c r="T69" s="139"/>
      <c r="U69" s="139"/>
      <c r="V69" s="139"/>
      <c r="W69" s="139"/>
      <c r="X69" s="139"/>
      <c r="Y69" s="139"/>
      <c r="Z69" s="139"/>
      <c r="AA69" s="129"/>
      <c r="AB69" s="146"/>
      <c r="AC69" s="147"/>
      <c r="AD69" s="149"/>
      <c r="AE69" s="149"/>
      <c r="AF69" s="149"/>
      <c r="AG69" s="150"/>
      <c r="AH69" s="150"/>
      <c r="AI69" s="151"/>
    </row>
    <row r="70" ht="15.75" customHeight="1">
      <c r="A70" s="129"/>
      <c r="B70" s="130"/>
      <c r="C70" s="129"/>
      <c r="D70" s="129"/>
      <c r="E70" s="138"/>
      <c r="F70" s="139"/>
      <c r="G70" s="140"/>
      <c r="H70" s="141"/>
      <c r="I70" s="142"/>
      <c r="J70" s="143"/>
      <c r="K70" s="141"/>
      <c r="L70" s="144"/>
      <c r="M70" s="129"/>
      <c r="N70" s="129"/>
      <c r="O70" s="145"/>
      <c r="P70" s="129"/>
      <c r="Q70" s="129"/>
      <c r="R70" s="129"/>
      <c r="S70" s="139"/>
      <c r="T70" s="139"/>
      <c r="U70" s="139"/>
      <c r="V70" s="139"/>
      <c r="W70" s="139"/>
      <c r="X70" s="139"/>
      <c r="Y70" s="139"/>
      <c r="Z70" s="139"/>
      <c r="AA70" s="129"/>
      <c r="AB70" s="146"/>
      <c r="AC70" s="147"/>
      <c r="AD70" s="149"/>
      <c r="AE70" s="149"/>
      <c r="AF70" s="149"/>
      <c r="AG70" s="150"/>
      <c r="AH70" s="150"/>
      <c r="AI70" s="151"/>
    </row>
    <row r="71" ht="15.75" customHeight="1">
      <c r="A71" s="129"/>
      <c r="B71" s="130"/>
      <c r="C71" s="129"/>
      <c r="D71" s="129"/>
      <c r="E71" s="138"/>
      <c r="F71" s="139"/>
      <c r="G71" s="140"/>
      <c r="H71" s="141"/>
      <c r="I71" s="142"/>
      <c r="J71" s="143"/>
      <c r="K71" s="141"/>
      <c r="L71" s="144"/>
      <c r="M71" s="129"/>
      <c r="N71" s="129"/>
      <c r="O71" s="145"/>
      <c r="P71" s="129"/>
      <c r="Q71" s="129"/>
      <c r="R71" s="129"/>
      <c r="S71" s="139"/>
      <c r="T71" s="139"/>
      <c r="U71" s="139"/>
      <c r="V71" s="139"/>
      <c r="W71" s="139"/>
      <c r="X71" s="139"/>
      <c r="Y71" s="139"/>
      <c r="Z71" s="139"/>
      <c r="AA71" s="129"/>
      <c r="AB71" s="146"/>
      <c r="AC71" s="147"/>
      <c r="AD71" s="149"/>
      <c r="AE71" s="149"/>
      <c r="AF71" s="149"/>
      <c r="AG71" s="150"/>
      <c r="AH71" s="150"/>
      <c r="AI71" s="151"/>
    </row>
    <row r="72" ht="15.75" customHeight="1">
      <c r="A72" s="129"/>
      <c r="B72" s="130"/>
      <c r="C72" s="129"/>
      <c r="D72" s="129"/>
      <c r="E72" s="138"/>
      <c r="F72" s="139"/>
      <c r="G72" s="140"/>
      <c r="H72" s="141"/>
      <c r="I72" s="142"/>
      <c r="J72" s="143"/>
      <c r="K72" s="141"/>
      <c r="L72" s="144"/>
      <c r="M72" s="129"/>
      <c r="N72" s="129"/>
      <c r="O72" s="145"/>
      <c r="P72" s="129"/>
      <c r="Q72" s="129"/>
      <c r="R72" s="129"/>
      <c r="S72" s="139"/>
      <c r="T72" s="139"/>
      <c r="U72" s="139"/>
      <c r="V72" s="139"/>
      <c r="W72" s="139"/>
      <c r="X72" s="139"/>
      <c r="Y72" s="139"/>
      <c r="Z72" s="139"/>
      <c r="AA72" s="129"/>
      <c r="AB72" s="146"/>
      <c r="AC72" s="147"/>
      <c r="AD72" s="149"/>
      <c r="AE72" s="149"/>
      <c r="AF72" s="149"/>
      <c r="AG72" s="150"/>
      <c r="AH72" s="150"/>
      <c r="AI72" s="151"/>
    </row>
    <row r="73" ht="15.75" customHeight="1">
      <c r="A73" s="129"/>
      <c r="B73" s="130"/>
      <c r="C73" s="129"/>
      <c r="D73" s="129"/>
      <c r="E73" s="138"/>
      <c r="F73" s="139"/>
      <c r="G73" s="140"/>
      <c r="H73" s="141"/>
      <c r="I73" s="142"/>
      <c r="J73" s="143"/>
      <c r="K73" s="141"/>
      <c r="L73" s="144"/>
      <c r="M73" s="129"/>
      <c r="N73" s="129"/>
      <c r="O73" s="145"/>
      <c r="P73" s="129"/>
      <c r="Q73" s="129"/>
      <c r="R73" s="129"/>
      <c r="S73" s="139"/>
      <c r="T73" s="139"/>
      <c r="U73" s="139"/>
      <c r="V73" s="139"/>
      <c r="W73" s="139"/>
      <c r="X73" s="139"/>
      <c r="Y73" s="139"/>
      <c r="Z73" s="139"/>
      <c r="AA73" s="129"/>
      <c r="AB73" s="146"/>
      <c r="AC73" s="147"/>
      <c r="AD73" s="149"/>
      <c r="AE73" s="149"/>
      <c r="AF73" s="149"/>
      <c r="AG73" s="150"/>
      <c r="AH73" s="150"/>
      <c r="AI73" s="151"/>
    </row>
    <row r="74" ht="15.75" customHeight="1">
      <c r="A74" s="129"/>
      <c r="B74" s="130"/>
      <c r="C74" s="129"/>
      <c r="D74" s="129"/>
      <c r="E74" s="138"/>
      <c r="F74" s="139"/>
      <c r="G74" s="140"/>
      <c r="H74" s="141"/>
      <c r="I74" s="142"/>
      <c r="J74" s="143"/>
      <c r="K74" s="141"/>
      <c r="L74" s="144"/>
      <c r="M74" s="129"/>
      <c r="N74" s="129"/>
      <c r="O74" s="145"/>
      <c r="P74" s="129"/>
      <c r="Q74" s="129"/>
      <c r="R74" s="129"/>
      <c r="S74" s="139"/>
      <c r="T74" s="139"/>
      <c r="U74" s="139"/>
      <c r="V74" s="139"/>
      <c r="W74" s="139"/>
      <c r="X74" s="139"/>
      <c r="Y74" s="139"/>
      <c r="Z74" s="139"/>
      <c r="AA74" s="129"/>
      <c r="AB74" s="146"/>
      <c r="AC74" s="147"/>
      <c r="AD74" s="149"/>
      <c r="AE74" s="149"/>
      <c r="AF74" s="149"/>
      <c r="AG74" s="150"/>
      <c r="AH74" s="150"/>
      <c r="AI74" s="151"/>
    </row>
    <row r="75" ht="15.75" customHeight="1">
      <c r="A75" s="129"/>
      <c r="B75" s="130"/>
      <c r="C75" s="129"/>
      <c r="D75" s="129"/>
      <c r="E75" s="138"/>
      <c r="F75" s="139"/>
      <c r="G75" s="140"/>
      <c r="H75" s="141"/>
      <c r="I75" s="142"/>
      <c r="J75" s="143"/>
      <c r="K75" s="141"/>
      <c r="L75" s="144"/>
      <c r="M75" s="129"/>
      <c r="N75" s="129"/>
      <c r="O75" s="145"/>
      <c r="P75" s="129"/>
      <c r="Q75" s="129"/>
      <c r="R75" s="129"/>
      <c r="S75" s="139"/>
      <c r="T75" s="139"/>
      <c r="U75" s="139"/>
      <c r="V75" s="139"/>
      <c r="W75" s="139"/>
      <c r="X75" s="139"/>
      <c r="Y75" s="139"/>
      <c r="Z75" s="139"/>
      <c r="AA75" s="129"/>
      <c r="AB75" s="146"/>
      <c r="AC75" s="147"/>
      <c r="AD75" s="149"/>
      <c r="AE75" s="149"/>
      <c r="AF75" s="149"/>
      <c r="AG75" s="150"/>
      <c r="AH75" s="150"/>
      <c r="AI75" s="151"/>
    </row>
    <row r="76" ht="15.75" customHeight="1">
      <c r="A76" s="129"/>
      <c r="B76" s="130"/>
      <c r="C76" s="129"/>
      <c r="D76" s="129"/>
      <c r="E76" s="138"/>
      <c r="F76" s="139"/>
      <c r="G76" s="140"/>
      <c r="H76" s="141"/>
      <c r="I76" s="142"/>
      <c r="J76" s="143"/>
      <c r="K76" s="141"/>
      <c r="L76" s="144"/>
      <c r="M76" s="129"/>
      <c r="N76" s="129"/>
      <c r="O76" s="145"/>
      <c r="P76" s="129"/>
      <c r="Q76" s="129"/>
      <c r="R76" s="129"/>
      <c r="S76" s="139"/>
      <c r="T76" s="139"/>
      <c r="U76" s="139"/>
      <c r="V76" s="139"/>
      <c r="W76" s="139"/>
      <c r="X76" s="139"/>
      <c r="Y76" s="139"/>
      <c r="Z76" s="139"/>
      <c r="AA76" s="129"/>
      <c r="AB76" s="146"/>
      <c r="AC76" s="147"/>
      <c r="AD76" s="149"/>
      <c r="AE76" s="149"/>
      <c r="AF76" s="149"/>
      <c r="AG76" s="150"/>
      <c r="AH76" s="150"/>
      <c r="AI76" s="151"/>
    </row>
    <row r="77" ht="15.75" customHeight="1">
      <c r="A77" s="129"/>
      <c r="B77" s="130"/>
      <c r="C77" s="129"/>
      <c r="D77" s="129"/>
      <c r="E77" s="138"/>
      <c r="F77" s="139"/>
      <c r="G77" s="140"/>
      <c r="H77" s="141"/>
      <c r="I77" s="142"/>
      <c r="J77" s="143"/>
      <c r="K77" s="141"/>
      <c r="L77" s="144"/>
      <c r="M77" s="129"/>
      <c r="N77" s="129"/>
      <c r="O77" s="145"/>
      <c r="P77" s="129"/>
      <c r="Q77" s="129"/>
      <c r="R77" s="129"/>
      <c r="S77" s="139"/>
      <c r="T77" s="139"/>
      <c r="U77" s="139"/>
      <c r="V77" s="139"/>
      <c r="W77" s="139"/>
      <c r="X77" s="139"/>
      <c r="Y77" s="139"/>
      <c r="Z77" s="139"/>
      <c r="AA77" s="129"/>
      <c r="AB77" s="146"/>
      <c r="AC77" s="147"/>
      <c r="AD77" s="149"/>
      <c r="AE77" s="149"/>
      <c r="AF77" s="149"/>
      <c r="AG77" s="150"/>
      <c r="AH77" s="150"/>
      <c r="AI77" s="151"/>
    </row>
    <row r="78" ht="15.75" customHeight="1">
      <c r="A78" s="129"/>
      <c r="B78" s="130"/>
      <c r="C78" s="129"/>
      <c r="D78" s="129"/>
      <c r="E78" s="138"/>
      <c r="F78" s="139"/>
      <c r="G78" s="140"/>
      <c r="H78" s="141"/>
      <c r="I78" s="142"/>
      <c r="J78" s="143"/>
      <c r="K78" s="141"/>
      <c r="L78" s="144"/>
      <c r="M78" s="129"/>
      <c r="N78" s="129"/>
      <c r="O78" s="145"/>
      <c r="P78" s="129"/>
      <c r="Q78" s="129"/>
      <c r="R78" s="129"/>
      <c r="S78" s="139"/>
      <c r="T78" s="139"/>
      <c r="U78" s="139"/>
      <c r="V78" s="139"/>
      <c r="W78" s="139"/>
      <c r="X78" s="139"/>
      <c r="Y78" s="139"/>
      <c r="Z78" s="139"/>
      <c r="AA78" s="129"/>
      <c r="AB78" s="146"/>
      <c r="AC78" s="147"/>
      <c r="AD78" s="149"/>
      <c r="AE78" s="149"/>
      <c r="AF78" s="149"/>
      <c r="AG78" s="150"/>
      <c r="AH78" s="150"/>
      <c r="AI78" s="151"/>
    </row>
    <row r="79" ht="15.75" customHeight="1">
      <c r="A79" s="129"/>
      <c r="B79" s="130"/>
      <c r="C79" s="129"/>
      <c r="D79" s="129"/>
      <c r="E79" s="138"/>
      <c r="F79" s="139"/>
      <c r="G79" s="140"/>
      <c r="H79" s="141"/>
      <c r="I79" s="142"/>
      <c r="J79" s="143"/>
      <c r="K79" s="141"/>
      <c r="L79" s="144"/>
      <c r="M79" s="129"/>
      <c r="N79" s="129"/>
      <c r="O79" s="145"/>
      <c r="P79" s="129"/>
      <c r="Q79" s="129"/>
      <c r="R79" s="129"/>
      <c r="S79" s="139"/>
      <c r="T79" s="139"/>
      <c r="U79" s="139"/>
      <c r="V79" s="139"/>
      <c r="W79" s="139"/>
      <c r="X79" s="139"/>
      <c r="Y79" s="139"/>
      <c r="Z79" s="139"/>
      <c r="AA79" s="129"/>
      <c r="AB79" s="146"/>
      <c r="AC79" s="147"/>
      <c r="AD79" s="149"/>
      <c r="AE79" s="149"/>
      <c r="AF79" s="149"/>
      <c r="AG79" s="150"/>
      <c r="AH79" s="150"/>
      <c r="AI79" s="151"/>
    </row>
    <row r="80" ht="15.75" customHeight="1">
      <c r="A80" s="129"/>
      <c r="B80" s="130"/>
      <c r="C80" s="129"/>
      <c r="D80" s="129"/>
      <c r="E80" s="138"/>
      <c r="F80" s="139"/>
      <c r="G80" s="140"/>
      <c r="H80" s="141"/>
      <c r="I80" s="142"/>
      <c r="J80" s="143"/>
      <c r="K80" s="141"/>
      <c r="L80" s="144"/>
      <c r="M80" s="129"/>
      <c r="N80" s="129"/>
      <c r="O80" s="145"/>
      <c r="P80" s="129"/>
      <c r="Q80" s="129"/>
      <c r="R80" s="129"/>
      <c r="S80" s="139"/>
      <c r="T80" s="139"/>
      <c r="U80" s="139"/>
      <c r="V80" s="139"/>
      <c r="W80" s="139"/>
      <c r="X80" s="139"/>
      <c r="Y80" s="139"/>
      <c r="Z80" s="139"/>
      <c r="AA80" s="129"/>
      <c r="AB80" s="146"/>
      <c r="AC80" s="147"/>
      <c r="AD80" s="149"/>
      <c r="AE80" s="149"/>
      <c r="AF80" s="149"/>
      <c r="AG80" s="150"/>
      <c r="AH80" s="150"/>
      <c r="AI80" s="151"/>
    </row>
    <row r="81" ht="15.75" customHeight="1">
      <c r="A81" s="129"/>
      <c r="B81" s="130"/>
      <c r="C81" s="129"/>
      <c r="D81" s="129"/>
      <c r="E81" s="138"/>
      <c r="F81" s="139"/>
      <c r="G81" s="140"/>
      <c r="H81" s="141"/>
      <c r="I81" s="142"/>
      <c r="J81" s="143"/>
      <c r="K81" s="141"/>
      <c r="L81" s="144"/>
      <c r="M81" s="129"/>
      <c r="N81" s="129"/>
      <c r="O81" s="145"/>
      <c r="P81" s="129"/>
      <c r="Q81" s="129"/>
      <c r="R81" s="129"/>
      <c r="S81" s="139"/>
      <c r="T81" s="139"/>
      <c r="U81" s="139"/>
      <c r="V81" s="139"/>
      <c r="W81" s="139"/>
      <c r="X81" s="139"/>
      <c r="Y81" s="139"/>
      <c r="Z81" s="139"/>
      <c r="AA81" s="129"/>
      <c r="AB81" s="146"/>
      <c r="AC81" s="147"/>
      <c r="AD81" s="149"/>
      <c r="AE81" s="149"/>
      <c r="AF81" s="149"/>
      <c r="AG81" s="150"/>
      <c r="AH81" s="150"/>
      <c r="AI81" s="151"/>
    </row>
    <row r="82" ht="15.75" customHeight="1">
      <c r="A82" s="129"/>
      <c r="B82" s="130"/>
      <c r="C82" s="129"/>
      <c r="D82" s="129"/>
      <c r="E82" s="138"/>
      <c r="F82" s="139"/>
      <c r="G82" s="140"/>
      <c r="H82" s="141"/>
      <c r="I82" s="142"/>
      <c r="J82" s="143"/>
      <c r="K82" s="141"/>
      <c r="L82" s="144"/>
      <c r="M82" s="129"/>
      <c r="N82" s="129"/>
      <c r="O82" s="145"/>
      <c r="P82" s="129"/>
      <c r="Q82" s="129"/>
      <c r="R82" s="129"/>
      <c r="S82" s="139"/>
      <c r="T82" s="139"/>
      <c r="U82" s="139"/>
      <c r="V82" s="139"/>
      <c r="W82" s="139"/>
      <c r="X82" s="139"/>
      <c r="Y82" s="139"/>
      <c r="Z82" s="139"/>
      <c r="AA82" s="129"/>
      <c r="AB82" s="146"/>
      <c r="AC82" s="147"/>
      <c r="AD82" s="149"/>
      <c r="AE82" s="149"/>
      <c r="AF82" s="149"/>
      <c r="AG82" s="150"/>
      <c r="AH82" s="150"/>
      <c r="AI82" s="151"/>
    </row>
    <row r="83" ht="15.75" customHeight="1">
      <c r="A83" s="129"/>
      <c r="B83" s="130"/>
      <c r="C83" s="129"/>
      <c r="D83" s="129"/>
      <c r="E83" s="138"/>
      <c r="F83" s="139"/>
      <c r="G83" s="140"/>
      <c r="H83" s="141"/>
      <c r="I83" s="142"/>
      <c r="J83" s="143"/>
      <c r="K83" s="141"/>
      <c r="L83" s="144"/>
      <c r="M83" s="129"/>
      <c r="N83" s="129"/>
      <c r="O83" s="145"/>
      <c r="P83" s="129"/>
      <c r="Q83" s="129"/>
      <c r="R83" s="129"/>
      <c r="S83" s="139"/>
      <c r="T83" s="139"/>
      <c r="U83" s="139"/>
      <c r="V83" s="139"/>
      <c r="W83" s="139"/>
      <c r="X83" s="139"/>
      <c r="Y83" s="139"/>
      <c r="Z83" s="139"/>
      <c r="AA83" s="129"/>
      <c r="AB83" s="146"/>
      <c r="AC83" s="147"/>
      <c r="AD83" s="149"/>
      <c r="AE83" s="149"/>
      <c r="AF83" s="149"/>
      <c r="AG83" s="150"/>
      <c r="AH83" s="150"/>
      <c r="AI83" s="151"/>
    </row>
    <row r="84" ht="15.75" customHeight="1">
      <c r="A84" s="129"/>
      <c r="B84" s="130"/>
      <c r="C84" s="129"/>
      <c r="D84" s="129"/>
      <c r="E84" s="138"/>
      <c r="F84" s="139"/>
      <c r="G84" s="140"/>
      <c r="H84" s="141"/>
      <c r="I84" s="142"/>
      <c r="J84" s="143"/>
      <c r="K84" s="141"/>
      <c r="L84" s="144"/>
      <c r="M84" s="129"/>
      <c r="N84" s="129"/>
      <c r="O84" s="145"/>
      <c r="P84" s="129"/>
      <c r="Q84" s="129"/>
      <c r="R84" s="129"/>
      <c r="S84" s="139"/>
      <c r="T84" s="139"/>
      <c r="U84" s="139"/>
      <c r="V84" s="139"/>
      <c r="W84" s="139"/>
      <c r="X84" s="139"/>
      <c r="Y84" s="139"/>
      <c r="Z84" s="139"/>
      <c r="AA84" s="129"/>
      <c r="AB84" s="146"/>
      <c r="AC84" s="147"/>
      <c r="AD84" s="149"/>
      <c r="AE84" s="149"/>
      <c r="AF84" s="149"/>
      <c r="AG84" s="150"/>
      <c r="AH84" s="150"/>
      <c r="AI84" s="151"/>
    </row>
    <row r="85" ht="15.75" customHeight="1">
      <c r="A85" s="129"/>
      <c r="B85" s="130"/>
      <c r="C85" s="129"/>
      <c r="D85" s="129"/>
      <c r="E85" s="138"/>
      <c r="F85" s="139"/>
      <c r="G85" s="140"/>
      <c r="H85" s="141"/>
      <c r="I85" s="142"/>
      <c r="J85" s="143"/>
      <c r="K85" s="141"/>
      <c r="L85" s="144"/>
      <c r="M85" s="129"/>
      <c r="N85" s="129"/>
      <c r="O85" s="145"/>
      <c r="P85" s="129"/>
      <c r="Q85" s="129"/>
      <c r="R85" s="129"/>
      <c r="S85" s="139"/>
      <c r="T85" s="139"/>
      <c r="U85" s="139"/>
      <c r="V85" s="139"/>
      <c r="W85" s="139"/>
      <c r="X85" s="139"/>
      <c r="Y85" s="139"/>
      <c r="Z85" s="139"/>
      <c r="AA85" s="129"/>
      <c r="AB85" s="146"/>
      <c r="AC85" s="147"/>
      <c r="AD85" s="149"/>
      <c r="AE85" s="149"/>
      <c r="AF85" s="149"/>
      <c r="AG85" s="150"/>
      <c r="AH85" s="150"/>
      <c r="AI85" s="151"/>
    </row>
    <row r="86" ht="15.75" customHeight="1">
      <c r="A86" s="129"/>
      <c r="B86" s="130"/>
      <c r="C86" s="129"/>
      <c r="D86" s="129"/>
      <c r="E86" s="138"/>
      <c r="F86" s="139"/>
      <c r="G86" s="140"/>
      <c r="H86" s="141"/>
      <c r="I86" s="142"/>
      <c r="J86" s="143"/>
      <c r="K86" s="141"/>
      <c r="L86" s="144"/>
      <c r="M86" s="129"/>
      <c r="N86" s="129"/>
      <c r="O86" s="145"/>
      <c r="P86" s="129"/>
      <c r="Q86" s="129"/>
      <c r="R86" s="129"/>
      <c r="S86" s="139"/>
      <c r="T86" s="139"/>
      <c r="U86" s="139"/>
      <c r="V86" s="139"/>
      <c r="W86" s="139"/>
      <c r="X86" s="139"/>
      <c r="Y86" s="139"/>
      <c r="Z86" s="139"/>
      <c r="AA86" s="129"/>
      <c r="AB86" s="146"/>
      <c r="AC86" s="147"/>
      <c r="AD86" s="149"/>
      <c r="AE86" s="149"/>
      <c r="AF86" s="149"/>
      <c r="AG86" s="150"/>
      <c r="AH86" s="150"/>
      <c r="AI86" s="151"/>
    </row>
    <row r="87" ht="15.75" customHeight="1">
      <c r="A87" s="129"/>
      <c r="B87" s="130"/>
      <c r="C87" s="129"/>
      <c r="D87" s="129"/>
      <c r="E87" s="138"/>
      <c r="F87" s="139"/>
      <c r="G87" s="140"/>
      <c r="H87" s="141"/>
      <c r="I87" s="142"/>
      <c r="J87" s="143"/>
      <c r="K87" s="141"/>
      <c r="L87" s="144"/>
      <c r="M87" s="129"/>
      <c r="N87" s="129"/>
      <c r="O87" s="145"/>
      <c r="P87" s="129"/>
      <c r="Q87" s="129"/>
      <c r="R87" s="129"/>
      <c r="S87" s="139"/>
      <c r="T87" s="139"/>
      <c r="U87" s="139"/>
      <c r="V87" s="139"/>
      <c r="W87" s="139"/>
      <c r="X87" s="139"/>
      <c r="Y87" s="139"/>
      <c r="Z87" s="139"/>
      <c r="AA87" s="129"/>
      <c r="AB87" s="146"/>
      <c r="AC87" s="147"/>
      <c r="AD87" s="149"/>
      <c r="AE87" s="149"/>
      <c r="AF87" s="149"/>
      <c r="AG87" s="150"/>
      <c r="AH87" s="150"/>
      <c r="AI87" s="151"/>
    </row>
    <row r="88" ht="15.75" customHeight="1">
      <c r="A88" s="129"/>
      <c r="B88" s="130"/>
      <c r="C88" s="129"/>
      <c r="D88" s="129"/>
      <c r="E88" s="138"/>
      <c r="F88" s="139"/>
      <c r="G88" s="140"/>
      <c r="H88" s="141"/>
      <c r="I88" s="142"/>
      <c r="J88" s="143"/>
      <c r="K88" s="141"/>
      <c r="L88" s="144"/>
      <c r="M88" s="129"/>
      <c r="N88" s="129"/>
      <c r="O88" s="145"/>
      <c r="P88" s="129"/>
      <c r="Q88" s="129"/>
      <c r="R88" s="129"/>
      <c r="S88" s="139"/>
      <c r="T88" s="139"/>
      <c r="U88" s="139"/>
      <c r="V88" s="139"/>
      <c r="W88" s="139"/>
      <c r="X88" s="139"/>
      <c r="Y88" s="139"/>
      <c r="Z88" s="139"/>
      <c r="AA88" s="129"/>
      <c r="AB88" s="146"/>
      <c r="AC88" s="147"/>
      <c r="AD88" s="149"/>
      <c r="AE88" s="149"/>
      <c r="AF88" s="149"/>
      <c r="AG88" s="150"/>
      <c r="AH88" s="150"/>
      <c r="AI88" s="151"/>
    </row>
    <row r="89" ht="15.75" customHeight="1">
      <c r="A89" s="129"/>
      <c r="B89" s="130"/>
      <c r="C89" s="129"/>
      <c r="D89" s="129"/>
      <c r="E89" s="138"/>
      <c r="F89" s="139"/>
      <c r="G89" s="140"/>
      <c r="H89" s="141"/>
      <c r="I89" s="142"/>
      <c r="J89" s="143"/>
      <c r="K89" s="141"/>
      <c r="L89" s="144"/>
      <c r="M89" s="129"/>
      <c r="N89" s="129"/>
      <c r="O89" s="145"/>
      <c r="P89" s="129"/>
      <c r="Q89" s="129"/>
      <c r="R89" s="129"/>
      <c r="S89" s="139"/>
      <c r="T89" s="139"/>
      <c r="U89" s="139"/>
      <c r="V89" s="139"/>
      <c r="W89" s="139"/>
      <c r="X89" s="139"/>
      <c r="Y89" s="139"/>
      <c r="Z89" s="139"/>
      <c r="AA89" s="129"/>
      <c r="AB89" s="146"/>
      <c r="AC89" s="147"/>
      <c r="AD89" s="149"/>
      <c r="AE89" s="149"/>
      <c r="AF89" s="149"/>
      <c r="AG89" s="150"/>
      <c r="AH89" s="150"/>
      <c r="AI89" s="151"/>
    </row>
    <row r="90" ht="15.75" customHeight="1">
      <c r="A90" s="129"/>
      <c r="B90" s="130"/>
      <c r="C90" s="129"/>
      <c r="D90" s="129"/>
      <c r="E90" s="138"/>
      <c r="F90" s="139"/>
      <c r="G90" s="140"/>
      <c r="H90" s="141"/>
      <c r="I90" s="142"/>
      <c r="J90" s="143"/>
      <c r="K90" s="141"/>
      <c r="L90" s="144"/>
      <c r="M90" s="129"/>
      <c r="N90" s="129"/>
      <c r="O90" s="145"/>
      <c r="P90" s="129"/>
      <c r="Q90" s="129"/>
      <c r="R90" s="129"/>
      <c r="S90" s="139"/>
      <c r="T90" s="139"/>
      <c r="U90" s="139"/>
      <c r="V90" s="139"/>
      <c r="W90" s="139"/>
      <c r="X90" s="139"/>
      <c r="Y90" s="139"/>
      <c r="Z90" s="139"/>
      <c r="AA90" s="129"/>
      <c r="AB90" s="146"/>
      <c r="AC90" s="147"/>
      <c r="AD90" s="149"/>
      <c r="AE90" s="149"/>
      <c r="AF90" s="149"/>
      <c r="AG90" s="150"/>
      <c r="AH90" s="150"/>
      <c r="AI90" s="151"/>
    </row>
    <row r="91" ht="15.75" customHeight="1">
      <c r="A91" s="129"/>
      <c r="B91" s="130"/>
      <c r="C91" s="129"/>
      <c r="D91" s="129"/>
      <c r="E91" s="138"/>
      <c r="F91" s="139"/>
      <c r="G91" s="140"/>
      <c r="H91" s="141"/>
      <c r="I91" s="142"/>
      <c r="J91" s="143"/>
      <c r="K91" s="141"/>
      <c r="L91" s="144"/>
      <c r="M91" s="129"/>
      <c r="N91" s="129"/>
      <c r="O91" s="145"/>
      <c r="P91" s="129"/>
      <c r="Q91" s="129"/>
      <c r="R91" s="129"/>
      <c r="S91" s="139"/>
      <c r="T91" s="139"/>
      <c r="U91" s="139"/>
      <c r="V91" s="139"/>
      <c r="W91" s="139"/>
      <c r="X91" s="139"/>
      <c r="Y91" s="139"/>
      <c r="Z91" s="139"/>
      <c r="AA91" s="129"/>
      <c r="AB91" s="146"/>
      <c r="AC91" s="147"/>
      <c r="AD91" s="149"/>
      <c r="AE91" s="149"/>
      <c r="AF91" s="149"/>
      <c r="AG91" s="150"/>
      <c r="AH91" s="150"/>
      <c r="AI91" s="151"/>
    </row>
    <row r="92" ht="15.75" customHeight="1">
      <c r="A92" s="129"/>
      <c r="B92" s="130"/>
      <c r="C92" s="129"/>
      <c r="D92" s="129"/>
      <c r="E92" s="138"/>
      <c r="F92" s="139"/>
      <c r="G92" s="140"/>
      <c r="H92" s="141"/>
      <c r="I92" s="142"/>
      <c r="J92" s="143"/>
      <c r="K92" s="141"/>
      <c r="L92" s="144"/>
      <c r="M92" s="129"/>
      <c r="N92" s="129"/>
      <c r="O92" s="145"/>
      <c r="P92" s="129"/>
      <c r="Q92" s="129"/>
      <c r="R92" s="129"/>
      <c r="S92" s="139"/>
      <c r="T92" s="139"/>
      <c r="U92" s="139"/>
      <c r="V92" s="139"/>
      <c r="W92" s="139"/>
      <c r="X92" s="139"/>
      <c r="Y92" s="139"/>
      <c r="Z92" s="139"/>
      <c r="AA92" s="129"/>
      <c r="AB92" s="146"/>
      <c r="AC92" s="147"/>
      <c r="AD92" s="149"/>
      <c r="AE92" s="149"/>
      <c r="AF92" s="149"/>
      <c r="AG92" s="150"/>
      <c r="AH92" s="150"/>
      <c r="AI92" s="151"/>
    </row>
    <row r="93" ht="15.75" customHeight="1">
      <c r="A93" s="129"/>
      <c r="B93" s="130"/>
      <c r="C93" s="129"/>
      <c r="D93" s="129"/>
      <c r="E93" s="138"/>
      <c r="F93" s="139"/>
      <c r="G93" s="140"/>
      <c r="H93" s="141"/>
      <c r="I93" s="142"/>
      <c r="J93" s="143"/>
      <c r="K93" s="141"/>
      <c r="L93" s="144"/>
      <c r="M93" s="129"/>
      <c r="N93" s="129"/>
      <c r="O93" s="145"/>
      <c r="P93" s="129"/>
      <c r="Q93" s="129"/>
      <c r="R93" s="129"/>
      <c r="S93" s="139"/>
      <c r="T93" s="139"/>
      <c r="U93" s="139"/>
      <c r="V93" s="139"/>
      <c r="W93" s="139"/>
      <c r="X93" s="139"/>
      <c r="Y93" s="139"/>
      <c r="Z93" s="139"/>
      <c r="AA93" s="129"/>
      <c r="AB93" s="146"/>
      <c r="AC93" s="147"/>
      <c r="AD93" s="149"/>
      <c r="AE93" s="149"/>
      <c r="AF93" s="149"/>
      <c r="AG93" s="150"/>
      <c r="AH93" s="150"/>
      <c r="AI93" s="151"/>
    </row>
    <row r="94" ht="15.75" customHeight="1">
      <c r="A94" s="129"/>
      <c r="B94" s="130"/>
      <c r="C94" s="129"/>
      <c r="D94" s="129"/>
      <c r="E94" s="138"/>
      <c r="F94" s="139"/>
      <c r="G94" s="140"/>
      <c r="H94" s="141"/>
      <c r="I94" s="142"/>
      <c r="J94" s="143"/>
      <c r="K94" s="141"/>
      <c r="L94" s="144"/>
      <c r="M94" s="129"/>
      <c r="N94" s="129"/>
      <c r="O94" s="145"/>
      <c r="P94" s="129"/>
      <c r="Q94" s="129"/>
      <c r="R94" s="129"/>
      <c r="S94" s="139"/>
      <c r="T94" s="139"/>
      <c r="U94" s="139"/>
      <c r="V94" s="139"/>
      <c r="W94" s="139"/>
      <c r="X94" s="139"/>
      <c r="Y94" s="139"/>
      <c r="Z94" s="139"/>
      <c r="AA94" s="129"/>
      <c r="AB94" s="146"/>
      <c r="AC94" s="147"/>
      <c r="AD94" s="149"/>
      <c r="AE94" s="149"/>
      <c r="AF94" s="149"/>
      <c r="AG94" s="150"/>
      <c r="AH94" s="150"/>
      <c r="AI94" s="151"/>
    </row>
    <row r="95" ht="15.75" customHeight="1">
      <c r="A95" s="129"/>
      <c r="B95" s="130"/>
      <c r="C95" s="129"/>
      <c r="D95" s="129"/>
      <c r="E95" s="138"/>
      <c r="F95" s="139"/>
      <c r="G95" s="140"/>
      <c r="H95" s="141"/>
      <c r="I95" s="142"/>
      <c r="J95" s="143"/>
      <c r="K95" s="141"/>
      <c r="L95" s="144"/>
      <c r="M95" s="129"/>
      <c r="N95" s="129"/>
      <c r="O95" s="145"/>
      <c r="P95" s="129"/>
      <c r="Q95" s="129"/>
      <c r="R95" s="129"/>
      <c r="S95" s="139"/>
      <c r="T95" s="139"/>
      <c r="U95" s="139"/>
      <c r="V95" s="139"/>
      <c r="W95" s="139"/>
      <c r="X95" s="139"/>
      <c r="Y95" s="139"/>
      <c r="Z95" s="139"/>
      <c r="AA95" s="129"/>
      <c r="AB95" s="146"/>
      <c r="AC95" s="147"/>
      <c r="AD95" s="149"/>
      <c r="AE95" s="149"/>
      <c r="AF95" s="149"/>
      <c r="AG95" s="150"/>
      <c r="AH95" s="150"/>
      <c r="AI95" s="151"/>
    </row>
    <row r="96" ht="15.75" customHeight="1">
      <c r="A96" s="129"/>
      <c r="B96" s="130"/>
      <c r="C96" s="129"/>
      <c r="D96" s="129"/>
      <c r="E96" s="138"/>
      <c r="F96" s="139"/>
      <c r="G96" s="140"/>
      <c r="H96" s="141"/>
      <c r="I96" s="142"/>
      <c r="J96" s="143"/>
      <c r="K96" s="141"/>
      <c r="L96" s="144"/>
      <c r="M96" s="129"/>
      <c r="N96" s="129"/>
      <c r="O96" s="145"/>
      <c r="P96" s="129"/>
      <c r="Q96" s="129"/>
      <c r="R96" s="129"/>
      <c r="S96" s="139"/>
      <c r="T96" s="139"/>
      <c r="U96" s="139"/>
      <c r="V96" s="139"/>
      <c r="W96" s="139"/>
      <c r="X96" s="139"/>
      <c r="Y96" s="139"/>
      <c r="Z96" s="139"/>
      <c r="AA96" s="129"/>
      <c r="AB96" s="146"/>
      <c r="AC96" s="147"/>
      <c r="AD96" s="149"/>
      <c r="AE96" s="149"/>
      <c r="AF96" s="149"/>
      <c r="AG96" s="150"/>
      <c r="AH96" s="150"/>
      <c r="AI96" s="151"/>
    </row>
    <row r="97" ht="15.75" customHeight="1">
      <c r="A97" s="129"/>
      <c r="B97" s="130"/>
      <c r="C97" s="129"/>
      <c r="D97" s="129"/>
      <c r="E97" s="138"/>
      <c r="F97" s="139"/>
      <c r="G97" s="140"/>
      <c r="H97" s="141"/>
      <c r="I97" s="142"/>
      <c r="J97" s="143"/>
      <c r="K97" s="141"/>
      <c r="L97" s="144"/>
      <c r="M97" s="129"/>
      <c r="N97" s="129"/>
      <c r="O97" s="145"/>
      <c r="P97" s="129"/>
      <c r="Q97" s="129"/>
      <c r="R97" s="129"/>
      <c r="S97" s="139"/>
      <c r="T97" s="139"/>
      <c r="U97" s="139"/>
      <c r="V97" s="139"/>
      <c r="W97" s="139"/>
      <c r="X97" s="139"/>
      <c r="Y97" s="139"/>
      <c r="Z97" s="139"/>
      <c r="AA97" s="129"/>
      <c r="AB97" s="146"/>
      <c r="AC97" s="147"/>
      <c r="AD97" s="149"/>
      <c r="AE97" s="149"/>
      <c r="AF97" s="149"/>
      <c r="AG97" s="150"/>
      <c r="AH97" s="150"/>
      <c r="AI97" s="151"/>
    </row>
    <row r="98" ht="15.75" customHeight="1">
      <c r="A98" s="129"/>
      <c r="B98" s="130"/>
      <c r="C98" s="129"/>
      <c r="D98" s="129"/>
      <c r="E98" s="138"/>
      <c r="F98" s="139"/>
      <c r="G98" s="140"/>
      <c r="H98" s="141"/>
      <c r="I98" s="142"/>
      <c r="J98" s="143"/>
      <c r="K98" s="141"/>
      <c r="L98" s="144"/>
      <c r="M98" s="129"/>
      <c r="N98" s="129"/>
      <c r="O98" s="145"/>
      <c r="P98" s="129"/>
      <c r="Q98" s="129"/>
      <c r="R98" s="129"/>
      <c r="S98" s="139"/>
      <c r="T98" s="139"/>
      <c r="U98" s="139"/>
      <c r="V98" s="139"/>
      <c r="W98" s="139"/>
      <c r="X98" s="139"/>
      <c r="Y98" s="139"/>
      <c r="Z98" s="139"/>
      <c r="AA98" s="129"/>
      <c r="AB98" s="146"/>
      <c r="AC98" s="147"/>
      <c r="AD98" s="149"/>
      <c r="AE98" s="149"/>
      <c r="AF98" s="149"/>
      <c r="AG98" s="150"/>
      <c r="AH98" s="150"/>
      <c r="AI98" s="151"/>
    </row>
    <row r="99" ht="15.75" customHeight="1">
      <c r="A99" s="129"/>
      <c r="B99" s="130"/>
      <c r="C99" s="129"/>
      <c r="D99" s="129"/>
      <c r="E99" s="138"/>
      <c r="F99" s="139"/>
      <c r="G99" s="140"/>
      <c r="H99" s="141"/>
      <c r="I99" s="142"/>
      <c r="J99" s="143"/>
      <c r="K99" s="141"/>
      <c r="L99" s="144"/>
      <c r="M99" s="129"/>
      <c r="N99" s="129"/>
      <c r="O99" s="145"/>
      <c r="P99" s="129"/>
      <c r="Q99" s="129"/>
      <c r="R99" s="129"/>
      <c r="S99" s="139"/>
      <c r="T99" s="139"/>
      <c r="U99" s="139"/>
      <c r="V99" s="139"/>
      <c r="W99" s="139"/>
      <c r="X99" s="139"/>
      <c r="Y99" s="139"/>
      <c r="Z99" s="139"/>
      <c r="AA99" s="129"/>
      <c r="AB99" s="146"/>
      <c r="AC99" s="147"/>
      <c r="AD99" s="149"/>
      <c r="AE99" s="149"/>
      <c r="AF99" s="149"/>
      <c r="AG99" s="150"/>
      <c r="AH99" s="150"/>
      <c r="AI99" s="151"/>
    </row>
    <row r="100" ht="15.75" customHeight="1">
      <c r="A100" s="129"/>
      <c r="B100" s="130"/>
      <c r="C100" s="129"/>
      <c r="D100" s="129"/>
      <c r="E100" s="138"/>
      <c r="F100" s="139"/>
      <c r="G100" s="140"/>
      <c r="H100" s="141"/>
      <c r="I100" s="142"/>
      <c r="J100" s="143"/>
      <c r="K100" s="141"/>
      <c r="L100" s="144"/>
      <c r="M100" s="129"/>
      <c r="N100" s="129"/>
      <c r="O100" s="145"/>
      <c r="P100" s="129"/>
      <c r="Q100" s="129"/>
      <c r="R100" s="129"/>
      <c r="S100" s="139"/>
      <c r="T100" s="139"/>
      <c r="U100" s="139"/>
      <c r="V100" s="139"/>
      <c r="W100" s="139"/>
      <c r="X100" s="139"/>
      <c r="Y100" s="139"/>
      <c r="Z100" s="139"/>
      <c r="AA100" s="129"/>
      <c r="AB100" s="146"/>
      <c r="AC100" s="147"/>
      <c r="AD100" s="149"/>
      <c r="AE100" s="149"/>
      <c r="AF100" s="149"/>
      <c r="AG100" s="150"/>
      <c r="AH100" s="150"/>
      <c r="AI100" s="151"/>
    </row>
    <row r="101" ht="15.75" customHeight="1">
      <c r="A101" s="129"/>
      <c r="B101" s="130"/>
      <c r="C101" s="129"/>
      <c r="D101" s="129"/>
      <c r="E101" s="138"/>
      <c r="F101" s="139"/>
      <c r="G101" s="140"/>
      <c r="H101" s="141"/>
      <c r="I101" s="142"/>
      <c r="J101" s="143"/>
      <c r="K101" s="141"/>
      <c r="L101" s="144"/>
      <c r="M101" s="129"/>
      <c r="N101" s="129"/>
      <c r="O101" s="145"/>
      <c r="P101" s="129"/>
      <c r="Q101" s="129"/>
      <c r="R101" s="129"/>
      <c r="S101" s="139"/>
      <c r="T101" s="139"/>
      <c r="U101" s="139"/>
      <c r="V101" s="139"/>
      <c r="W101" s="139"/>
      <c r="X101" s="139"/>
      <c r="Y101" s="139"/>
      <c r="Z101" s="139"/>
      <c r="AA101" s="129"/>
      <c r="AB101" s="146"/>
      <c r="AC101" s="147"/>
      <c r="AD101" s="149"/>
      <c r="AE101" s="149"/>
      <c r="AF101" s="149"/>
      <c r="AG101" s="150"/>
      <c r="AH101" s="150"/>
      <c r="AI101" s="151"/>
    </row>
    <row r="102" ht="15.75" customHeight="1">
      <c r="A102" s="129"/>
      <c r="B102" s="130"/>
      <c r="C102" s="129"/>
      <c r="D102" s="129"/>
      <c r="E102" s="138"/>
      <c r="F102" s="139"/>
      <c r="G102" s="140"/>
      <c r="H102" s="141"/>
      <c r="I102" s="142"/>
      <c r="J102" s="143"/>
      <c r="K102" s="141"/>
      <c r="L102" s="144"/>
      <c r="M102" s="129"/>
      <c r="N102" s="129"/>
      <c r="O102" s="145"/>
      <c r="P102" s="129"/>
      <c r="Q102" s="129"/>
      <c r="R102" s="129"/>
      <c r="S102" s="139"/>
      <c r="T102" s="139"/>
      <c r="U102" s="139"/>
      <c r="V102" s="139"/>
      <c r="W102" s="139"/>
      <c r="X102" s="139"/>
      <c r="Y102" s="139"/>
      <c r="Z102" s="139"/>
      <c r="AA102" s="129"/>
      <c r="AB102" s="146"/>
      <c r="AC102" s="147"/>
      <c r="AD102" s="149"/>
      <c r="AE102" s="149"/>
      <c r="AF102" s="149"/>
      <c r="AG102" s="150"/>
      <c r="AH102" s="150"/>
      <c r="AI102" s="151"/>
    </row>
    <row r="103" ht="15.75" customHeight="1">
      <c r="A103" s="129"/>
      <c r="B103" s="130"/>
      <c r="C103" s="129"/>
      <c r="D103" s="129"/>
      <c r="E103" s="138"/>
      <c r="F103" s="139"/>
      <c r="G103" s="140"/>
      <c r="H103" s="141"/>
      <c r="I103" s="142"/>
      <c r="J103" s="143"/>
      <c r="K103" s="141"/>
      <c r="L103" s="144"/>
      <c r="M103" s="129"/>
      <c r="N103" s="129"/>
      <c r="O103" s="145"/>
      <c r="P103" s="129"/>
      <c r="Q103" s="129"/>
      <c r="R103" s="129"/>
      <c r="S103" s="139"/>
      <c r="T103" s="139"/>
      <c r="U103" s="139"/>
      <c r="V103" s="139"/>
      <c r="W103" s="139"/>
      <c r="X103" s="139"/>
      <c r="Y103" s="139"/>
      <c r="Z103" s="139"/>
      <c r="AA103" s="129"/>
      <c r="AB103" s="146"/>
      <c r="AC103" s="147"/>
      <c r="AD103" s="149"/>
      <c r="AE103" s="149"/>
      <c r="AF103" s="149"/>
      <c r="AG103" s="150"/>
      <c r="AH103" s="150"/>
      <c r="AI103" s="151"/>
    </row>
    <row r="104" ht="15.75" customHeight="1">
      <c r="A104" s="129"/>
      <c r="B104" s="130"/>
      <c r="C104" s="129"/>
      <c r="D104" s="129"/>
      <c r="E104" s="138"/>
      <c r="F104" s="139"/>
      <c r="G104" s="140"/>
      <c r="H104" s="141"/>
      <c r="I104" s="142"/>
      <c r="J104" s="143"/>
      <c r="K104" s="141"/>
      <c r="L104" s="144"/>
      <c r="M104" s="129"/>
      <c r="N104" s="129"/>
      <c r="O104" s="145"/>
      <c r="P104" s="129"/>
      <c r="Q104" s="129"/>
      <c r="R104" s="129"/>
      <c r="S104" s="139"/>
      <c r="T104" s="139"/>
      <c r="U104" s="139"/>
      <c r="V104" s="139"/>
      <c r="W104" s="139"/>
      <c r="X104" s="139"/>
      <c r="Y104" s="139"/>
      <c r="Z104" s="139"/>
      <c r="AA104" s="129"/>
      <c r="AB104" s="146"/>
      <c r="AC104" s="147"/>
      <c r="AD104" s="149"/>
      <c r="AE104" s="149"/>
      <c r="AF104" s="149"/>
      <c r="AG104" s="150"/>
      <c r="AH104" s="150"/>
      <c r="AI104" s="151"/>
    </row>
    <row r="105" ht="15.75" customHeight="1">
      <c r="A105" s="129"/>
      <c r="B105" s="130"/>
      <c r="C105" s="129"/>
      <c r="D105" s="129"/>
      <c r="E105" s="138"/>
      <c r="F105" s="139"/>
      <c r="G105" s="140"/>
      <c r="H105" s="141"/>
      <c r="I105" s="142"/>
      <c r="J105" s="143"/>
      <c r="K105" s="141"/>
      <c r="L105" s="144"/>
      <c r="M105" s="129"/>
      <c r="N105" s="129"/>
      <c r="O105" s="145"/>
      <c r="P105" s="129"/>
      <c r="Q105" s="129"/>
      <c r="R105" s="129"/>
      <c r="S105" s="139"/>
      <c r="T105" s="139"/>
      <c r="U105" s="139"/>
      <c r="V105" s="139"/>
      <c r="W105" s="139"/>
      <c r="X105" s="139"/>
      <c r="Y105" s="139"/>
      <c r="Z105" s="139"/>
      <c r="AA105" s="129"/>
      <c r="AB105" s="146"/>
      <c r="AC105" s="147"/>
      <c r="AD105" s="149"/>
      <c r="AE105" s="149"/>
      <c r="AF105" s="149"/>
      <c r="AG105" s="150"/>
      <c r="AH105" s="150"/>
      <c r="AI105" s="151"/>
    </row>
    <row r="106" ht="15.75" customHeight="1">
      <c r="A106" s="129"/>
      <c r="B106" s="130"/>
      <c r="C106" s="129"/>
      <c r="D106" s="129"/>
      <c r="E106" s="138"/>
      <c r="F106" s="139"/>
      <c r="G106" s="140"/>
      <c r="H106" s="141"/>
      <c r="I106" s="142"/>
      <c r="J106" s="143"/>
      <c r="K106" s="141"/>
      <c r="L106" s="144"/>
      <c r="M106" s="129"/>
      <c r="N106" s="129"/>
      <c r="O106" s="145"/>
      <c r="P106" s="129"/>
      <c r="Q106" s="129"/>
      <c r="R106" s="129"/>
      <c r="S106" s="139"/>
      <c r="T106" s="139"/>
      <c r="U106" s="139"/>
      <c r="V106" s="139"/>
      <c r="W106" s="139"/>
      <c r="X106" s="139"/>
      <c r="Y106" s="139"/>
      <c r="Z106" s="139"/>
      <c r="AA106" s="129"/>
      <c r="AB106" s="146"/>
      <c r="AC106" s="147"/>
      <c r="AD106" s="149"/>
      <c r="AE106" s="149"/>
      <c r="AF106" s="149"/>
      <c r="AG106" s="150"/>
      <c r="AH106" s="150"/>
      <c r="AI106" s="151"/>
    </row>
    <row r="107" ht="15.75" customHeight="1">
      <c r="A107" s="129"/>
      <c r="B107" s="130"/>
      <c r="C107" s="129"/>
      <c r="D107" s="129"/>
      <c r="E107" s="138"/>
      <c r="F107" s="139"/>
      <c r="G107" s="140"/>
      <c r="H107" s="141"/>
      <c r="I107" s="142"/>
      <c r="J107" s="143"/>
      <c r="K107" s="141"/>
      <c r="L107" s="144"/>
      <c r="M107" s="129"/>
      <c r="N107" s="129"/>
      <c r="O107" s="145"/>
      <c r="P107" s="129"/>
      <c r="Q107" s="129"/>
      <c r="R107" s="129"/>
      <c r="S107" s="139"/>
      <c r="T107" s="139"/>
      <c r="U107" s="139"/>
      <c r="V107" s="139"/>
      <c r="W107" s="139"/>
      <c r="X107" s="139"/>
      <c r="Y107" s="139"/>
      <c r="Z107" s="139"/>
      <c r="AA107" s="129"/>
      <c r="AB107" s="146"/>
      <c r="AC107" s="147"/>
      <c r="AD107" s="149"/>
      <c r="AE107" s="149"/>
      <c r="AF107" s="149"/>
      <c r="AG107" s="150"/>
      <c r="AH107" s="150"/>
      <c r="AI107" s="151"/>
    </row>
    <row r="108" ht="15.75" customHeight="1">
      <c r="A108" s="129"/>
      <c r="B108" s="130"/>
      <c r="C108" s="129"/>
      <c r="D108" s="129"/>
      <c r="E108" s="138"/>
      <c r="F108" s="139"/>
      <c r="G108" s="140"/>
      <c r="H108" s="141"/>
      <c r="I108" s="142"/>
      <c r="J108" s="143"/>
      <c r="K108" s="141"/>
      <c r="L108" s="144"/>
      <c r="M108" s="129"/>
      <c r="N108" s="129"/>
      <c r="O108" s="145"/>
      <c r="P108" s="129"/>
      <c r="Q108" s="129"/>
      <c r="R108" s="129"/>
      <c r="S108" s="139"/>
      <c r="T108" s="139"/>
      <c r="U108" s="139"/>
      <c r="V108" s="139"/>
      <c r="W108" s="139"/>
      <c r="X108" s="139"/>
      <c r="Y108" s="139"/>
      <c r="Z108" s="139"/>
      <c r="AA108" s="129"/>
      <c r="AB108" s="146"/>
      <c r="AC108" s="147"/>
      <c r="AD108" s="149"/>
      <c r="AE108" s="149"/>
      <c r="AF108" s="149"/>
      <c r="AG108" s="150"/>
      <c r="AH108" s="150"/>
      <c r="AI108" s="151"/>
    </row>
    <row r="109" ht="15.75" customHeight="1">
      <c r="A109" s="129"/>
      <c r="B109" s="130"/>
      <c r="C109" s="129"/>
      <c r="D109" s="129"/>
      <c r="E109" s="138"/>
      <c r="F109" s="139"/>
      <c r="G109" s="140"/>
      <c r="H109" s="141"/>
      <c r="I109" s="142"/>
      <c r="J109" s="143"/>
      <c r="K109" s="141"/>
      <c r="L109" s="144"/>
      <c r="M109" s="129"/>
      <c r="N109" s="129"/>
      <c r="O109" s="145"/>
      <c r="P109" s="129"/>
      <c r="Q109" s="129"/>
      <c r="R109" s="129"/>
      <c r="S109" s="139"/>
      <c r="T109" s="139"/>
      <c r="U109" s="139"/>
      <c r="V109" s="139"/>
      <c r="W109" s="139"/>
      <c r="X109" s="139"/>
      <c r="Y109" s="139"/>
      <c r="Z109" s="139"/>
      <c r="AA109" s="129"/>
      <c r="AB109" s="146"/>
      <c r="AC109" s="147"/>
      <c r="AD109" s="149"/>
      <c r="AE109" s="149"/>
      <c r="AF109" s="149"/>
      <c r="AG109" s="150"/>
      <c r="AH109" s="150"/>
      <c r="AI109" s="151"/>
    </row>
    <row r="110" ht="15.75" customHeight="1">
      <c r="A110" s="129"/>
      <c r="B110" s="130"/>
      <c r="C110" s="129"/>
      <c r="D110" s="129"/>
      <c r="E110" s="138"/>
      <c r="F110" s="139"/>
      <c r="G110" s="140"/>
      <c r="H110" s="141"/>
      <c r="I110" s="142"/>
      <c r="J110" s="143"/>
      <c r="K110" s="141"/>
      <c r="L110" s="144"/>
      <c r="M110" s="129"/>
      <c r="N110" s="129"/>
      <c r="O110" s="145"/>
      <c r="P110" s="129"/>
      <c r="Q110" s="129"/>
      <c r="R110" s="129"/>
      <c r="S110" s="139"/>
      <c r="T110" s="139"/>
      <c r="U110" s="139"/>
      <c r="V110" s="139"/>
      <c r="W110" s="139"/>
      <c r="X110" s="139"/>
      <c r="Y110" s="139"/>
      <c r="Z110" s="139"/>
      <c r="AA110" s="129"/>
      <c r="AB110" s="146"/>
      <c r="AC110" s="147"/>
      <c r="AD110" s="149"/>
      <c r="AE110" s="149"/>
      <c r="AF110" s="149"/>
      <c r="AG110" s="150"/>
      <c r="AH110" s="150"/>
      <c r="AI110" s="151"/>
    </row>
    <row r="111" ht="15.75" customHeight="1">
      <c r="A111" s="129"/>
      <c r="B111" s="130"/>
      <c r="C111" s="129"/>
      <c r="D111" s="129"/>
      <c r="E111" s="138"/>
      <c r="F111" s="139"/>
      <c r="G111" s="140"/>
      <c r="H111" s="141"/>
      <c r="I111" s="142"/>
      <c r="J111" s="143"/>
      <c r="K111" s="141"/>
      <c r="L111" s="144"/>
      <c r="M111" s="129"/>
      <c r="N111" s="129"/>
      <c r="O111" s="145"/>
      <c r="P111" s="129"/>
      <c r="Q111" s="129"/>
      <c r="R111" s="129"/>
      <c r="S111" s="139"/>
      <c r="T111" s="139"/>
      <c r="U111" s="139"/>
      <c r="V111" s="139"/>
      <c r="W111" s="139"/>
      <c r="X111" s="139"/>
      <c r="Y111" s="139"/>
      <c r="Z111" s="139"/>
      <c r="AA111" s="129"/>
      <c r="AB111" s="146"/>
      <c r="AC111" s="147"/>
      <c r="AD111" s="149"/>
      <c r="AE111" s="149"/>
      <c r="AF111" s="149"/>
      <c r="AG111" s="150"/>
      <c r="AH111" s="150"/>
      <c r="AI111" s="151"/>
    </row>
    <row r="112" ht="15.75" customHeight="1">
      <c r="A112" s="129"/>
      <c r="B112" s="130"/>
      <c r="C112" s="129"/>
      <c r="D112" s="129"/>
      <c r="E112" s="138"/>
      <c r="F112" s="139"/>
      <c r="G112" s="140"/>
      <c r="H112" s="141"/>
      <c r="I112" s="142"/>
      <c r="J112" s="143"/>
      <c r="K112" s="141"/>
      <c r="L112" s="144"/>
      <c r="M112" s="129"/>
      <c r="N112" s="129"/>
      <c r="O112" s="145"/>
      <c r="P112" s="129"/>
      <c r="Q112" s="129"/>
      <c r="R112" s="129"/>
      <c r="S112" s="139"/>
      <c r="T112" s="139"/>
      <c r="U112" s="139"/>
      <c r="V112" s="139"/>
      <c r="W112" s="139"/>
      <c r="X112" s="139"/>
      <c r="Y112" s="139"/>
      <c r="Z112" s="139"/>
      <c r="AA112" s="129"/>
      <c r="AB112" s="146"/>
      <c r="AC112" s="147"/>
      <c r="AD112" s="149"/>
      <c r="AE112" s="149"/>
      <c r="AF112" s="149"/>
      <c r="AG112" s="150"/>
      <c r="AH112" s="150"/>
      <c r="AI112" s="151"/>
    </row>
    <row r="113" ht="15.75" customHeight="1">
      <c r="A113" s="129"/>
      <c r="B113" s="130"/>
      <c r="C113" s="129"/>
      <c r="D113" s="129"/>
      <c r="E113" s="138"/>
      <c r="F113" s="139"/>
      <c r="G113" s="140"/>
      <c r="H113" s="141"/>
      <c r="I113" s="142"/>
      <c r="J113" s="143"/>
      <c r="K113" s="141"/>
      <c r="L113" s="144"/>
      <c r="M113" s="129"/>
      <c r="N113" s="129"/>
      <c r="O113" s="145"/>
      <c r="P113" s="129"/>
      <c r="Q113" s="129"/>
      <c r="R113" s="129"/>
      <c r="S113" s="139"/>
      <c r="T113" s="139"/>
      <c r="U113" s="139"/>
      <c r="V113" s="139"/>
      <c r="W113" s="139"/>
      <c r="X113" s="139"/>
      <c r="Y113" s="139"/>
      <c r="Z113" s="139"/>
      <c r="AA113" s="129"/>
      <c r="AB113" s="146"/>
      <c r="AC113" s="147"/>
      <c r="AD113" s="149"/>
      <c r="AE113" s="149"/>
      <c r="AF113" s="149"/>
      <c r="AG113" s="150"/>
      <c r="AH113" s="150"/>
      <c r="AI113" s="151"/>
    </row>
    <row r="114" ht="15.75" customHeight="1">
      <c r="A114" s="129"/>
      <c r="B114" s="130"/>
      <c r="C114" s="129"/>
      <c r="D114" s="129"/>
      <c r="E114" s="138"/>
      <c r="F114" s="139"/>
      <c r="G114" s="140"/>
      <c r="H114" s="141"/>
      <c r="I114" s="142"/>
      <c r="J114" s="143"/>
      <c r="K114" s="141"/>
      <c r="L114" s="144"/>
      <c r="M114" s="129"/>
      <c r="N114" s="129"/>
      <c r="O114" s="145"/>
      <c r="P114" s="129"/>
      <c r="Q114" s="129"/>
      <c r="R114" s="129"/>
      <c r="S114" s="139"/>
      <c r="T114" s="139"/>
      <c r="U114" s="139"/>
      <c r="V114" s="139"/>
      <c r="W114" s="139"/>
      <c r="X114" s="139"/>
      <c r="Y114" s="139"/>
      <c r="Z114" s="139"/>
      <c r="AA114" s="129"/>
      <c r="AB114" s="146"/>
      <c r="AC114" s="147"/>
      <c r="AD114" s="149"/>
      <c r="AE114" s="149"/>
      <c r="AF114" s="149"/>
      <c r="AG114" s="150"/>
      <c r="AH114" s="150"/>
      <c r="AI114" s="151"/>
    </row>
    <row r="115" ht="15.75" customHeight="1">
      <c r="A115" s="129"/>
      <c r="B115" s="130"/>
      <c r="C115" s="129"/>
      <c r="D115" s="129"/>
      <c r="E115" s="138"/>
      <c r="F115" s="139"/>
      <c r="G115" s="140"/>
      <c r="H115" s="141"/>
      <c r="I115" s="142"/>
      <c r="J115" s="143"/>
      <c r="K115" s="141"/>
      <c r="L115" s="144"/>
      <c r="M115" s="129"/>
      <c r="N115" s="129"/>
      <c r="O115" s="145"/>
      <c r="P115" s="129"/>
      <c r="Q115" s="129"/>
      <c r="R115" s="129"/>
      <c r="S115" s="139"/>
      <c r="T115" s="139"/>
      <c r="U115" s="139"/>
      <c r="V115" s="139"/>
      <c r="W115" s="139"/>
      <c r="X115" s="139"/>
      <c r="Y115" s="139"/>
      <c r="Z115" s="139"/>
      <c r="AA115" s="129"/>
      <c r="AB115" s="146"/>
      <c r="AC115" s="147"/>
      <c r="AD115" s="149"/>
      <c r="AE115" s="149"/>
      <c r="AF115" s="149"/>
      <c r="AG115" s="150"/>
      <c r="AH115" s="150"/>
      <c r="AI115" s="151"/>
    </row>
    <row r="116" ht="15.75" customHeight="1">
      <c r="A116" s="129"/>
      <c r="B116" s="130"/>
      <c r="C116" s="129"/>
      <c r="D116" s="129"/>
      <c r="E116" s="138"/>
      <c r="F116" s="139"/>
      <c r="G116" s="140"/>
      <c r="H116" s="141"/>
      <c r="I116" s="142"/>
      <c r="J116" s="143"/>
      <c r="K116" s="141"/>
      <c r="L116" s="144"/>
      <c r="M116" s="129"/>
      <c r="N116" s="129"/>
      <c r="O116" s="145"/>
      <c r="P116" s="129"/>
      <c r="Q116" s="129"/>
      <c r="R116" s="129"/>
      <c r="S116" s="139"/>
      <c r="T116" s="139"/>
      <c r="U116" s="139"/>
      <c r="V116" s="139"/>
      <c r="W116" s="139"/>
      <c r="X116" s="139"/>
      <c r="Y116" s="139"/>
      <c r="Z116" s="139"/>
      <c r="AA116" s="129"/>
      <c r="AB116" s="146"/>
      <c r="AC116" s="147"/>
      <c r="AD116" s="149"/>
      <c r="AE116" s="149"/>
      <c r="AF116" s="149"/>
      <c r="AG116" s="150"/>
      <c r="AH116" s="150"/>
      <c r="AI116" s="151"/>
    </row>
    <row r="117" ht="15.75" customHeight="1">
      <c r="A117" s="129"/>
      <c r="B117" s="130"/>
      <c r="C117" s="129"/>
      <c r="D117" s="129"/>
      <c r="E117" s="138"/>
      <c r="F117" s="139"/>
      <c r="G117" s="140"/>
      <c r="H117" s="141"/>
      <c r="I117" s="142"/>
      <c r="J117" s="143"/>
      <c r="K117" s="141"/>
      <c r="L117" s="144"/>
      <c r="M117" s="129"/>
      <c r="N117" s="129"/>
      <c r="O117" s="145"/>
      <c r="P117" s="129"/>
      <c r="Q117" s="129"/>
      <c r="R117" s="129"/>
      <c r="S117" s="139"/>
      <c r="T117" s="139"/>
      <c r="U117" s="139"/>
      <c r="V117" s="139"/>
      <c r="W117" s="139"/>
      <c r="X117" s="139"/>
      <c r="Y117" s="139"/>
      <c r="Z117" s="139"/>
      <c r="AA117" s="129"/>
      <c r="AB117" s="146"/>
      <c r="AC117" s="147"/>
      <c r="AD117" s="149"/>
      <c r="AE117" s="149"/>
      <c r="AF117" s="149"/>
      <c r="AG117" s="150"/>
      <c r="AH117" s="150"/>
      <c r="AI117" s="151"/>
    </row>
    <row r="118" ht="15.75" customHeight="1">
      <c r="A118" s="129"/>
      <c r="B118" s="130"/>
      <c r="C118" s="129"/>
      <c r="D118" s="129"/>
      <c r="E118" s="138"/>
      <c r="F118" s="139"/>
      <c r="G118" s="140"/>
      <c r="H118" s="141"/>
      <c r="I118" s="142"/>
      <c r="J118" s="143"/>
      <c r="K118" s="141"/>
      <c r="L118" s="144"/>
      <c r="M118" s="129"/>
      <c r="N118" s="129"/>
      <c r="O118" s="145"/>
      <c r="P118" s="129"/>
      <c r="Q118" s="129"/>
      <c r="R118" s="129"/>
      <c r="S118" s="139"/>
      <c r="T118" s="139"/>
      <c r="U118" s="139"/>
      <c r="V118" s="139"/>
      <c r="W118" s="139"/>
      <c r="X118" s="139"/>
      <c r="Y118" s="139"/>
      <c r="Z118" s="139"/>
      <c r="AA118" s="129"/>
      <c r="AB118" s="146"/>
      <c r="AC118" s="147"/>
      <c r="AD118" s="149"/>
      <c r="AE118" s="149"/>
      <c r="AF118" s="149"/>
      <c r="AG118" s="150"/>
      <c r="AH118" s="150"/>
      <c r="AI118" s="151"/>
    </row>
    <row r="119" ht="15.75" customHeight="1">
      <c r="A119" s="129"/>
      <c r="B119" s="130"/>
      <c r="C119" s="129"/>
      <c r="D119" s="129"/>
      <c r="E119" s="138"/>
      <c r="F119" s="139"/>
      <c r="G119" s="140"/>
      <c r="H119" s="141"/>
      <c r="I119" s="142"/>
      <c r="J119" s="143"/>
      <c r="K119" s="141"/>
      <c r="L119" s="144"/>
      <c r="M119" s="129"/>
      <c r="N119" s="129"/>
      <c r="O119" s="145"/>
      <c r="P119" s="129"/>
      <c r="Q119" s="129"/>
      <c r="R119" s="129"/>
      <c r="S119" s="139"/>
      <c r="T119" s="139"/>
      <c r="U119" s="139"/>
      <c r="V119" s="139"/>
      <c r="W119" s="139"/>
      <c r="X119" s="139"/>
      <c r="Y119" s="139"/>
      <c r="Z119" s="139"/>
      <c r="AA119" s="129"/>
      <c r="AB119" s="146"/>
      <c r="AC119" s="147"/>
      <c r="AD119" s="149"/>
      <c r="AE119" s="149"/>
      <c r="AF119" s="149"/>
      <c r="AG119" s="150"/>
      <c r="AH119" s="150"/>
      <c r="AI119" s="151"/>
    </row>
    <row r="120" ht="15.75" customHeight="1">
      <c r="A120" s="129"/>
      <c r="B120" s="130"/>
      <c r="C120" s="129"/>
      <c r="D120" s="129"/>
      <c r="E120" s="138"/>
      <c r="F120" s="139"/>
      <c r="G120" s="140"/>
      <c r="H120" s="141"/>
      <c r="I120" s="142"/>
      <c r="J120" s="143"/>
      <c r="K120" s="141"/>
      <c r="L120" s="144"/>
      <c r="M120" s="129"/>
      <c r="N120" s="129"/>
      <c r="O120" s="145"/>
      <c r="P120" s="129"/>
      <c r="Q120" s="129"/>
      <c r="R120" s="129"/>
      <c r="S120" s="139"/>
      <c r="T120" s="139"/>
      <c r="U120" s="139"/>
      <c r="V120" s="139"/>
      <c r="W120" s="139"/>
      <c r="X120" s="139"/>
      <c r="Y120" s="139"/>
      <c r="Z120" s="139"/>
      <c r="AA120" s="129"/>
      <c r="AB120" s="146"/>
      <c r="AC120" s="147"/>
      <c r="AD120" s="149"/>
      <c r="AE120" s="149"/>
      <c r="AF120" s="149"/>
      <c r="AG120" s="150"/>
      <c r="AH120" s="150"/>
      <c r="AI120" s="151"/>
    </row>
    <row r="121" ht="15.75" customHeight="1">
      <c r="A121" s="129"/>
      <c r="B121" s="130"/>
      <c r="C121" s="129"/>
      <c r="D121" s="129"/>
      <c r="E121" s="138"/>
      <c r="F121" s="139"/>
      <c r="G121" s="140"/>
      <c r="H121" s="141"/>
      <c r="I121" s="142"/>
      <c r="J121" s="143"/>
      <c r="K121" s="141"/>
      <c r="L121" s="144"/>
      <c r="M121" s="129"/>
      <c r="N121" s="129"/>
      <c r="O121" s="145"/>
      <c r="P121" s="129"/>
      <c r="Q121" s="129"/>
      <c r="R121" s="129"/>
      <c r="S121" s="139"/>
      <c r="T121" s="139"/>
      <c r="U121" s="139"/>
      <c r="V121" s="139"/>
      <c r="W121" s="139"/>
      <c r="X121" s="139"/>
      <c r="Y121" s="139"/>
      <c r="Z121" s="139"/>
      <c r="AA121" s="129"/>
      <c r="AB121" s="146"/>
      <c r="AC121" s="147"/>
      <c r="AD121" s="149"/>
      <c r="AE121" s="149"/>
      <c r="AF121" s="149"/>
      <c r="AG121" s="150"/>
      <c r="AH121" s="150"/>
      <c r="AI121" s="151"/>
    </row>
    <row r="122" ht="15.75" customHeight="1">
      <c r="A122" s="129"/>
      <c r="B122" s="130"/>
      <c r="C122" s="129"/>
      <c r="D122" s="129"/>
      <c r="E122" s="138"/>
      <c r="F122" s="139"/>
      <c r="G122" s="140"/>
      <c r="H122" s="141"/>
      <c r="I122" s="142"/>
      <c r="J122" s="143"/>
      <c r="K122" s="141"/>
      <c r="L122" s="144"/>
      <c r="M122" s="129"/>
      <c r="N122" s="129"/>
      <c r="O122" s="145"/>
      <c r="P122" s="129"/>
      <c r="Q122" s="129"/>
      <c r="R122" s="129"/>
      <c r="S122" s="139"/>
      <c r="T122" s="139"/>
      <c r="U122" s="139"/>
      <c r="V122" s="139"/>
      <c r="W122" s="139"/>
      <c r="X122" s="139"/>
      <c r="Y122" s="139"/>
      <c r="Z122" s="139"/>
      <c r="AA122" s="129"/>
      <c r="AB122" s="146"/>
      <c r="AC122" s="147"/>
      <c r="AD122" s="149"/>
      <c r="AE122" s="149"/>
      <c r="AF122" s="149"/>
      <c r="AG122" s="150"/>
      <c r="AH122" s="150"/>
      <c r="AI122" s="151"/>
    </row>
    <row r="123" ht="15.75" customHeight="1">
      <c r="A123" s="129"/>
      <c r="B123" s="130"/>
      <c r="C123" s="129"/>
      <c r="D123" s="129"/>
      <c r="E123" s="138"/>
      <c r="F123" s="139"/>
      <c r="G123" s="140"/>
      <c r="H123" s="141"/>
      <c r="I123" s="142"/>
      <c r="J123" s="143"/>
      <c r="K123" s="141"/>
      <c r="L123" s="144"/>
      <c r="M123" s="129"/>
      <c r="N123" s="129"/>
      <c r="O123" s="145"/>
      <c r="P123" s="129"/>
      <c r="Q123" s="129"/>
      <c r="R123" s="129"/>
      <c r="S123" s="139"/>
      <c r="T123" s="139"/>
      <c r="U123" s="139"/>
      <c r="V123" s="139"/>
      <c r="W123" s="139"/>
      <c r="X123" s="139"/>
      <c r="Y123" s="139"/>
      <c r="Z123" s="139"/>
      <c r="AA123" s="129"/>
      <c r="AB123" s="146"/>
      <c r="AC123" s="147"/>
      <c r="AD123" s="149"/>
      <c r="AE123" s="149"/>
      <c r="AF123" s="149"/>
      <c r="AG123" s="150"/>
      <c r="AH123" s="150"/>
      <c r="AI123" s="151"/>
    </row>
    <row r="124" ht="15.75" customHeight="1">
      <c r="A124" s="129"/>
      <c r="B124" s="130"/>
      <c r="C124" s="129"/>
      <c r="D124" s="129"/>
      <c r="E124" s="138"/>
      <c r="F124" s="139"/>
      <c r="G124" s="140"/>
      <c r="H124" s="141"/>
      <c r="I124" s="142"/>
      <c r="J124" s="143"/>
      <c r="K124" s="141"/>
      <c r="L124" s="144"/>
      <c r="M124" s="129"/>
      <c r="N124" s="129"/>
      <c r="O124" s="145"/>
      <c r="P124" s="129"/>
      <c r="Q124" s="129"/>
      <c r="R124" s="129"/>
      <c r="S124" s="139"/>
      <c r="T124" s="139"/>
      <c r="U124" s="139"/>
      <c r="V124" s="139"/>
      <c r="W124" s="139"/>
      <c r="X124" s="139"/>
      <c r="Y124" s="139"/>
      <c r="Z124" s="139"/>
      <c r="AA124" s="129"/>
      <c r="AB124" s="146"/>
      <c r="AC124" s="147"/>
      <c r="AD124" s="149"/>
      <c r="AE124" s="149"/>
      <c r="AF124" s="149"/>
      <c r="AG124" s="150"/>
      <c r="AH124" s="150"/>
      <c r="AI124" s="151"/>
    </row>
    <row r="125" ht="15.75" customHeight="1">
      <c r="A125" s="129"/>
      <c r="B125" s="130"/>
      <c r="C125" s="129"/>
      <c r="D125" s="129"/>
      <c r="E125" s="138"/>
      <c r="F125" s="139"/>
      <c r="G125" s="140"/>
      <c r="H125" s="141"/>
      <c r="I125" s="142"/>
      <c r="J125" s="143"/>
      <c r="K125" s="141"/>
      <c r="L125" s="144"/>
      <c r="M125" s="129"/>
      <c r="N125" s="129"/>
      <c r="O125" s="145"/>
      <c r="P125" s="129"/>
      <c r="Q125" s="129"/>
      <c r="R125" s="129"/>
      <c r="S125" s="139"/>
      <c r="T125" s="139"/>
      <c r="U125" s="139"/>
      <c r="V125" s="139"/>
      <c r="W125" s="139"/>
      <c r="X125" s="139"/>
      <c r="Y125" s="139"/>
      <c r="Z125" s="139"/>
      <c r="AA125" s="129"/>
      <c r="AB125" s="146"/>
      <c r="AC125" s="147"/>
      <c r="AD125" s="149"/>
      <c r="AE125" s="149"/>
      <c r="AF125" s="149"/>
      <c r="AG125" s="150"/>
      <c r="AH125" s="150"/>
      <c r="AI125" s="151"/>
    </row>
    <row r="126" ht="15.75" customHeight="1">
      <c r="A126" s="129"/>
      <c r="B126" s="130"/>
      <c r="C126" s="129"/>
      <c r="D126" s="129"/>
      <c r="E126" s="138"/>
      <c r="F126" s="139"/>
      <c r="G126" s="140"/>
      <c r="H126" s="141"/>
      <c r="I126" s="142"/>
      <c r="J126" s="143"/>
      <c r="K126" s="141"/>
      <c r="L126" s="144"/>
      <c r="M126" s="129"/>
      <c r="N126" s="129"/>
      <c r="O126" s="145"/>
      <c r="P126" s="129"/>
      <c r="Q126" s="129"/>
      <c r="R126" s="129"/>
      <c r="S126" s="139"/>
      <c r="T126" s="139"/>
      <c r="U126" s="139"/>
      <c r="V126" s="139"/>
      <c r="W126" s="139"/>
      <c r="X126" s="139"/>
      <c r="Y126" s="139"/>
      <c r="Z126" s="139"/>
      <c r="AA126" s="129"/>
      <c r="AB126" s="146"/>
      <c r="AC126" s="147"/>
      <c r="AD126" s="149"/>
      <c r="AE126" s="149"/>
      <c r="AF126" s="149"/>
      <c r="AG126" s="150"/>
      <c r="AH126" s="150"/>
      <c r="AI126" s="151"/>
    </row>
    <row r="127" ht="15.75" customHeight="1">
      <c r="A127" s="129"/>
      <c r="B127" s="130"/>
      <c r="C127" s="129"/>
      <c r="D127" s="129"/>
      <c r="E127" s="138"/>
      <c r="F127" s="139"/>
      <c r="G127" s="140"/>
      <c r="H127" s="141"/>
      <c r="I127" s="142"/>
      <c r="J127" s="143"/>
      <c r="K127" s="141"/>
      <c r="L127" s="144"/>
      <c r="M127" s="129"/>
      <c r="N127" s="129"/>
      <c r="O127" s="145"/>
      <c r="P127" s="129"/>
      <c r="Q127" s="129"/>
      <c r="R127" s="129"/>
      <c r="S127" s="139"/>
      <c r="T127" s="139"/>
      <c r="U127" s="139"/>
      <c r="V127" s="139"/>
      <c r="W127" s="139"/>
      <c r="X127" s="139"/>
      <c r="Y127" s="139"/>
      <c r="Z127" s="139"/>
      <c r="AA127" s="129"/>
      <c r="AB127" s="146"/>
      <c r="AC127" s="147"/>
      <c r="AD127" s="149"/>
      <c r="AE127" s="149"/>
      <c r="AF127" s="149"/>
      <c r="AG127" s="150"/>
      <c r="AH127" s="150"/>
      <c r="AI127" s="151"/>
    </row>
    <row r="128" ht="15.75" customHeight="1">
      <c r="A128" s="129"/>
      <c r="B128" s="130"/>
      <c r="C128" s="129"/>
      <c r="D128" s="129"/>
      <c r="E128" s="138"/>
      <c r="F128" s="139"/>
      <c r="G128" s="140"/>
      <c r="H128" s="141"/>
      <c r="I128" s="142"/>
      <c r="J128" s="143"/>
      <c r="K128" s="141"/>
      <c r="L128" s="144"/>
      <c r="M128" s="129"/>
      <c r="N128" s="129"/>
      <c r="O128" s="145"/>
      <c r="P128" s="129"/>
      <c r="Q128" s="129"/>
      <c r="R128" s="129"/>
      <c r="S128" s="139"/>
      <c r="T128" s="139"/>
      <c r="U128" s="139"/>
      <c r="V128" s="139"/>
      <c r="W128" s="139"/>
      <c r="X128" s="139"/>
      <c r="Y128" s="139"/>
      <c r="Z128" s="139"/>
      <c r="AA128" s="129"/>
      <c r="AB128" s="146"/>
      <c r="AC128" s="147"/>
      <c r="AD128" s="149"/>
      <c r="AE128" s="149"/>
      <c r="AF128" s="149"/>
      <c r="AG128" s="150"/>
      <c r="AH128" s="150"/>
      <c r="AI128" s="151"/>
    </row>
    <row r="129" ht="15.75" customHeight="1">
      <c r="A129" s="129"/>
      <c r="B129" s="130"/>
      <c r="C129" s="129"/>
      <c r="D129" s="129"/>
      <c r="E129" s="138"/>
      <c r="F129" s="139"/>
      <c r="G129" s="140"/>
      <c r="H129" s="141"/>
      <c r="I129" s="142"/>
      <c r="J129" s="143"/>
      <c r="K129" s="141"/>
      <c r="L129" s="144"/>
      <c r="M129" s="129"/>
      <c r="N129" s="129"/>
      <c r="O129" s="145"/>
      <c r="P129" s="129"/>
      <c r="Q129" s="129"/>
      <c r="R129" s="129"/>
      <c r="S129" s="139"/>
      <c r="T129" s="139"/>
      <c r="U129" s="139"/>
      <c r="V129" s="139"/>
      <c r="W129" s="139"/>
      <c r="X129" s="139"/>
      <c r="Y129" s="139"/>
      <c r="Z129" s="139"/>
      <c r="AA129" s="129"/>
      <c r="AB129" s="146"/>
      <c r="AC129" s="147"/>
      <c r="AD129" s="149"/>
      <c r="AE129" s="149"/>
      <c r="AF129" s="149"/>
      <c r="AG129" s="150"/>
      <c r="AH129" s="150"/>
      <c r="AI129" s="151"/>
    </row>
    <row r="130" ht="15.75" customHeight="1">
      <c r="A130" s="129"/>
      <c r="B130" s="130"/>
      <c r="C130" s="129"/>
      <c r="D130" s="129"/>
      <c r="E130" s="138"/>
      <c r="F130" s="139"/>
      <c r="G130" s="140"/>
      <c r="H130" s="141"/>
      <c r="I130" s="142"/>
      <c r="J130" s="143"/>
      <c r="K130" s="141"/>
      <c r="L130" s="144"/>
      <c r="M130" s="129"/>
      <c r="N130" s="129"/>
      <c r="O130" s="145"/>
      <c r="P130" s="129"/>
      <c r="Q130" s="129"/>
      <c r="R130" s="129"/>
      <c r="S130" s="139"/>
      <c r="T130" s="139"/>
      <c r="U130" s="139"/>
      <c r="V130" s="139"/>
      <c r="W130" s="139"/>
      <c r="X130" s="139"/>
      <c r="Y130" s="139"/>
      <c r="Z130" s="139"/>
      <c r="AA130" s="129"/>
      <c r="AB130" s="146"/>
      <c r="AC130" s="147"/>
      <c r="AD130" s="149"/>
      <c r="AE130" s="149"/>
      <c r="AF130" s="149"/>
      <c r="AG130" s="150"/>
      <c r="AH130" s="150"/>
      <c r="AI130" s="151"/>
    </row>
    <row r="131" ht="15.75" customHeight="1">
      <c r="A131" s="129"/>
      <c r="B131" s="130"/>
      <c r="C131" s="129"/>
      <c r="D131" s="129"/>
      <c r="E131" s="138"/>
      <c r="F131" s="139"/>
      <c r="G131" s="140"/>
      <c r="H131" s="141"/>
      <c r="I131" s="142"/>
      <c r="J131" s="143"/>
      <c r="K131" s="141"/>
      <c r="L131" s="144"/>
      <c r="M131" s="129"/>
      <c r="N131" s="129"/>
      <c r="O131" s="145"/>
      <c r="P131" s="129"/>
      <c r="Q131" s="129"/>
      <c r="R131" s="129"/>
      <c r="S131" s="139"/>
      <c r="T131" s="139"/>
      <c r="U131" s="139"/>
      <c r="V131" s="139"/>
      <c r="W131" s="139"/>
      <c r="X131" s="139"/>
      <c r="Y131" s="139"/>
      <c r="Z131" s="139"/>
      <c r="AA131" s="129"/>
      <c r="AB131" s="146"/>
      <c r="AC131" s="147"/>
      <c r="AD131" s="149"/>
      <c r="AE131" s="149"/>
      <c r="AF131" s="149"/>
      <c r="AG131" s="150"/>
      <c r="AH131" s="150"/>
      <c r="AI131" s="151"/>
    </row>
    <row r="132" ht="15.75" customHeight="1">
      <c r="A132" s="129"/>
      <c r="B132" s="130"/>
      <c r="C132" s="129"/>
      <c r="D132" s="129"/>
      <c r="E132" s="138"/>
      <c r="F132" s="139"/>
      <c r="G132" s="140"/>
      <c r="H132" s="141"/>
      <c r="I132" s="142"/>
      <c r="J132" s="143"/>
      <c r="K132" s="141"/>
      <c r="L132" s="144"/>
      <c r="M132" s="129"/>
      <c r="N132" s="129"/>
      <c r="O132" s="145"/>
      <c r="P132" s="129"/>
      <c r="Q132" s="129"/>
      <c r="R132" s="129"/>
      <c r="S132" s="139"/>
      <c r="T132" s="139"/>
      <c r="U132" s="139"/>
      <c r="V132" s="139"/>
      <c r="W132" s="139"/>
      <c r="X132" s="139"/>
      <c r="Y132" s="139"/>
      <c r="Z132" s="139"/>
      <c r="AA132" s="129"/>
      <c r="AB132" s="146"/>
      <c r="AC132" s="147"/>
      <c r="AD132" s="149"/>
      <c r="AE132" s="149"/>
      <c r="AF132" s="149"/>
      <c r="AG132" s="150"/>
      <c r="AH132" s="150"/>
      <c r="AI132" s="151"/>
    </row>
    <row r="133" ht="15.75" customHeight="1">
      <c r="A133" s="129"/>
      <c r="B133" s="130"/>
      <c r="C133" s="129"/>
      <c r="D133" s="129"/>
      <c r="E133" s="138"/>
      <c r="F133" s="139"/>
      <c r="G133" s="140"/>
      <c r="H133" s="141"/>
      <c r="I133" s="142"/>
      <c r="J133" s="143"/>
      <c r="K133" s="141"/>
      <c r="L133" s="144"/>
      <c r="M133" s="129"/>
      <c r="N133" s="129"/>
      <c r="O133" s="145"/>
      <c r="P133" s="129"/>
      <c r="Q133" s="129"/>
      <c r="R133" s="129"/>
      <c r="S133" s="139"/>
      <c r="T133" s="139"/>
      <c r="U133" s="139"/>
      <c r="V133" s="139"/>
      <c r="W133" s="139"/>
      <c r="X133" s="139"/>
      <c r="Y133" s="139"/>
      <c r="Z133" s="139"/>
      <c r="AA133" s="129"/>
      <c r="AB133" s="146"/>
      <c r="AC133" s="147"/>
      <c r="AD133" s="149"/>
      <c r="AE133" s="149"/>
      <c r="AF133" s="149"/>
      <c r="AG133" s="150"/>
      <c r="AH133" s="150"/>
      <c r="AI133" s="151"/>
    </row>
    <row r="134" ht="15.75" customHeight="1">
      <c r="A134" s="129"/>
      <c r="B134" s="130"/>
      <c r="C134" s="129"/>
      <c r="D134" s="129"/>
      <c r="E134" s="138"/>
      <c r="F134" s="139"/>
      <c r="G134" s="140"/>
      <c r="H134" s="141"/>
      <c r="I134" s="142"/>
      <c r="J134" s="143"/>
      <c r="K134" s="141"/>
      <c r="L134" s="144"/>
      <c r="M134" s="129"/>
      <c r="N134" s="129"/>
      <c r="O134" s="145"/>
      <c r="P134" s="129"/>
      <c r="Q134" s="129"/>
      <c r="R134" s="129"/>
      <c r="S134" s="139"/>
      <c r="T134" s="139"/>
      <c r="U134" s="139"/>
      <c r="V134" s="139"/>
      <c r="W134" s="139"/>
      <c r="X134" s="139"/>
      <c r="Y134" s="139"/>
      <c r="Z134" s="139"/>
      <c r="AA134" s="129"/>
      <c r="AB134" s="146"/>
      <c r="AC134" s="147"/>
      <c r="AD134" s="149"/>
      <c r="AE134" s="149"/>
      <c r="AF134" s="149"/>
      <c r="AG134" s="150"/>
      <c r="AH134" s="150"/>
      <c r="AI134" s="151"/>
    </row>
    <row r="135" ht="15.75" customHeight="1">
      <c r="A135" s="129"/>
      <c r="B135" s="130"/>
      <c r="C135" s="129"/>
      <c r="D135" s="129"/>
      <c r="E135" s="138"/>
      <c r="F135" s="139"/>
      <c r="G135" s="140"/>
      <c r="H135" s="141"/>
      <c r="I135" s="142"/>
      <c r="J135" s="143"/>
      <c r="K135" s="141"/>
      <c r="L135" s="144"/>
      <c r="M135" s="129"/>
      <c r="N135" s="129"/>
      <c r="O135" s="145"/>
      <c r="P135" s="129"/>
      <c r="Q135" s="129"/>
      <c r="R135" s="129"/>
      <c r="S135" s="139"/>
      <c r="T135" s="139"/>
      <c r="U135" s="139"/>
      <c r="V135" s="139"/>
      <c r="W135" s="139"/>
      <c r="X135" s="139"/>
      <c r="Y135" s="139"/>
      <c r="Z135" s="139"/>
      <c r="AA135" s="129"/>
      <c r="AB135" s="146"/>
      <c r="AC135" s="147"/>
      <c r="AD135" s="149"/>
      <c r="AE135" s="149"/>
      <c r="AF135" s="149"/>
      <c r="AG135" s="150"/>
      <c r="AH135" s="150"/>
      <c r="AI135" s="151"/>
    </row>
    <row r="136" ht="15.75" customHeight="1">
      <c r="A136" s="129"/>
      <c r="B136" s="130"/>
      <c r="C136" s="129"/>
      <c r="D136" s="129"/>
      <c r="E136" s="138"/>
      <c r="F136" s="139"/>
      <c r="G136" s="140"/>
      <c r="H136" s="141"/>
      <c r="I136" s="142"/>
      <c r="J136" s="143"/>
      <c r="K136" s="141"/>
      <c r="L136" s="144"/>
      <c r="M136" s="129"/>
      <c r="N136" s="129"/>
      <c r="O136" s="145"/>
      <c r="P136" s="129"/>
      <c r="Q136" s="129"/>
      <c r="R136" s="129"/>
      <c r="S136" s="139"/>
      <c r="T136" s="139"/>
      <c r="U136" s="139"/>
      <c r="V136" s="139"/>
      <c r="W136" s="139"/>
      <c r="X136" s="139"/>
      <c r="Y136" s="139"/>
      <c r="Z136" s="139"/>
      <c r="AA136" s="129"/>
      <c r="AB136" s="146"/>
      <c r="AC136" s="147"/>
      <c r="AD136" s="149"/>
      <c r="AE136" s="149"/>
      <c r="AF136" s="149"/>
      <c r="AG136" s="150"/>
      <c r="AH136" s="150"/>
      <c r="AI136" s="151"/>
    </row>
    <row r="137" ht="15.75" customHeight="1">
      <c r="A137" s="129"/>
      <c r="B137" s="130"/>
      <c r="C137" s="129"/>
      <c r="D137" s="129"/>
      <c r="E137" s="138"/>
      <c r="F137" s="139"/>
      <c r="G137" s="140"/>
      <c r="H137" s="141"/>
      <c r="I137" s="142"/>
      <c r="J137" s="143"/>
      <c r="K137" s="141"/>
      <c r="L137" s="144"/>
      <c r="M137" s="129"/>
      <c r="N137" s="129"/>
      <c r="O137" s="145"/>
      <c r="P137" s="129"/>
      <c r="Q137" s="129"/>
      <c r="R137" s="129"/>
      <c r="S137" s="139"/>
      <c r="T137" s="139"/>
      <c r="U137" s="139"/>
      <c r="V137" s="139"/>
      <c r="W137" s="139"/>
      <c r="X137" s="139"/>
      <c r="Y137" s="139"/>
      <c r="Z137" s="139"/>
      <c r="AA137" s="129"/>
      <c r="AB137" s="146"/>
      <c r="AC137" s="147"/>
      <c r="AD137" s="149"/>
      <c r="AE137" s="149"/>
      <c r="AF137" s="149"/>
      <c r="AG137" s="150"/>
      <c r="AH137" s="150"/>
      <c r="AI137" s="151"/>
    </row>
    <row r="138" ht="15.75" customHeight="1">
      <c r="A138" s="129"/>
      <c r="B138" s="130"/>
      <c r="C138" s="129"/>
      <c r="D138" s="129"/>
      <c r="E138" s="138"/>
      <c r="F138" s="139"/>
      <c r="G138" s="140"/>
      <c r="H138" s="141"/>
      <c r="I138" s="142"/>
      <c r="J138" s="143"/>
      <c r="K138" s="141"/>
      <c r="L138" s="144"/>
      <c r="M138" s="129"/>
      <c r="N138" s="129"/>
      <c r="O138" s="145"/>
      <c r="P138" s="129"/>
      <c r="Q138" s="129"/>
      <c r="R138" s="129"/>
      <c r="S138" s="139"/>
      <c r="T138" s="139"/>
      <c r="U138" s="139"/>
      <c r="V138" s="139"/>
      <c r="W138" s="139"/>
      <c r="X138" s="139"/>
      <c r="Y138" s="139"/>
      <c r="Z138" s="139"/>
      <c r="AA138" s="129"/>
      <c r="AB138" s="146"/>
      <c r="AC138" s="147"/>
      <c r="AD138" s="149"/>
      <c r="AE138" s="149"/>
      <c r="AF138" s="149"/>
      <c r="AG138" s="150"/>
      <c r="AH138" s="150"/>
      <c r="AI138" s="151"/>
    </row>
    <row r="139" ht="15.75" customHeight="1">
      <c r="A139" s="129"/>
      <c r="B139" s="130"/>
      <c r="C139" s="129"/>
      <c r="D139" s="129"/>
      <c r="E139" s="138"/>
      <c r="F139" s="139"/>
      <c r="G139" s="140"/>
      <c r="H139" s="141"/>
      <c r="I139" s="142"/>
      <c r="J139" s="143"/>
      <c r="K139" s="141"/>
      <c r="L139" s="144"/>
      <c r="M139" s="129"/>
      <c r="N139" s="129"/>
      <c r="O139" s="145"/>
      <c r="P139" s="129"/>
      <c r="Q139" s="129"/>
      <c r="R139" s="129"/>
      <c r="S139" s="139"/>
      <c r="T139" s="139"/>
      <c r="U139" s="139"/>
      <c r="V139" s="139"/>
      <c r="W139" s="139"/>
      <c r="X139" s="139"/>
      <c r="Y139" s="139"/>
      <c r="Z139" s="139"/>
      <c r="AA139" s="129"/>
      <c r="AB139" s="146"/>
      <c r="AC139" s="147"/>
      <c r="AD139" s="149"/>
      <c r="AE139" s="149"/>
      <c r="AF139" s="149"/>
      <c r="AG139" s="150"/>
      <c r="AH139" s="150"/>
      <c r="AI139" s="151"/>
    </row>
    <row r="140" ht="15.75" customHeight="1">
      <c r="A140" s="129"/>
      <c r="B140" s="130"/>
      <c r="C140" s="129"/>
      <c r="D140" s="129"/>
      <c r="E140" s="138"/>
      <c r="F140" s="139"/>
      <c r="G140" s="140"/>
      <c r="H140" s="141"/>
      <c r="I140" s="142"/>
      <c r="J140" s="143"/>
      <c r="K140" s="141"/>
      <c r="L140" s="144"/>
      <c r="M140" s="129"/>
      <c r="N140" s="129"/>
      <c r="O140" s="145"/>
      <c r="P140" s="129"/>
      <c r="Q140" s="129"/>
      <c r="R140" s="129"/>
      <c r="S140" s="139"/>
      <c r="T140" s="139"/>
      <c r="U140" s="139"/>
      <c r="V140" s="139"/>
      <c r="W140" s="139"/>
      <c r="X140" s="139"/>
      <c r="Y140" s="139"/>
      <c r="Z140" s="139"/>
      <c r="AA140" s="129"/>
      <c r="AB140" s="146"/>
      <c r="AC140" s="147"/>
      <c r="AD140" s="149"/>
      <c r="AE140" s="149"/>
      <c r="AF140" s="149"/>
      <c r="AG140" s="150"/>
      <c r="AH140" s="150"/>
      <c r="AI140" s="151"/>
    </row>
    <row r="141" ht="15.75" customHeight="1">
      <c r="A141" s="129"/>
      <c r="B141" s="130"/>
      <c r="C141" s="129"/>
      <c r="D141" s="129"/>
      <c r="E141" s="138"/>
      <c r="F141" s="139"/>
      <c r="G141" s="140"/>
      <c r="H141" s="141"/>
      <c r="I141" s="142"/>
      <c r="J141" s="143"/>
      <c r="K141" s="141"/>
      <c r="L141" s="144"/>
      <c r="M141" s="129"/>
      <c r="N141" s="129"/>
      <c r="O141" s="145"/>
      <c r="P141" s="129"/>
      <c r="Q141" s="129"/>
      <c r="R141" s="129"/>
      <c r="S141" s="139"/>
      <c r="T141" s="139"/>
      <c r="U141" s="139"/>
      <c r="V141" s="139"/>
      <c r="W141" s="139"/>
      <c r="X141" s="139"/>
      <c r="Y141" s="139"/>
      <c r="Z141" s="139"/>
      <c r="AA141" s="129"/>
      <c r="AB141" s="146"/>
      <c r="AC141" s="147"/>
      <c r="AD141" s="149"/>
      <c r="AE141" s="149"/>
      <c r="AF141" s="149"/>
      <c r="AG141" s="150"/>
      <c r="AH141" s="150"/>
      <c r="AI141" s="151"/>
    </row>
    <row r="142" ht="15.75" customHeight="1">
      <c r="A142" s="129"/>
      <c r="B142" s="130"/>
      <c r="C142" s="129"/>
      <c r="D142" s="129"/>
      <c r="E142" s="138"/>
      <c r="F142" s="139"/>
      <c r="G142" s="140"/>
      <c r="H142" s="141"/>
      <c r="I142" s="142"/>
      <c r="J142" s="143"/>
      <c r="K142" s="141"/>
      <c r="L142" s="144"/>
      <c r="M142" s="129"/>
      <c r="N142" s="129"/>
      <c r="O142" s="145"/>
      <c r="P142" s="129"/>
      <c r="Q142" s="129"/>
      <c r="R142" s="129"/>
      <c r="S142" s="139"/>
      <c r="T142" s="139"/>
      <c r="U142" s="139"/>
      <c r="V142" s="139"/>
      <c r="W142" s="139"/>
      <c r="X142" s="139"/>
      <c r="Y142" s="139"/>
      <c r="Z142" s="139"/>
      <c r="AA142" s="129"/>
      <c r="AB142" s="146"/>
      <c r="AC142" s="147"/>
      <c r="AD142" s="149"/>
      <c r="AE142" s="149"/>
      <c r="AF142" s="149"/>
      <c r="AG142" s="150"/>
      <c r="AH142" s="150"/>
      <c r="AI142" s="151"/>
    </row>
    <row r="143" ht="15.75" customHeight="1">
      <c r="A143" s="129"/>
      <c r="B143" s="130"/>
      <c r="C143" s="129"/>
      <c r="D143" s="129"/>
      <c r="E143" s="138"/>
      <c r="F143" s="139"/>
      <c r="G143" s="140"/>
      <c r="H143" s="141"/>
      <c r="I143" s="142"/>
      <c r="J143" s="143"/>
      <c r="K143" s="141"/>
      <c r="L143" s="144"/>
      <c r="M143" s="129"/>
      <c r="N143" s="129"/>
      <c r="O143" s="145"/>
      <c r="P143" s="129"/>
      <c r="Q143" s="129"/>
      <c r="R143" s="129"/>
      <c r="S143" s="139"/>
      <c r="T143" s="139"/>
      <c r="U143" s="139"/>
      <c r="V143" s="139"/>
      <c r="W143" s="139"/>
      <c r="X143" s="139"/>
      <c r="Y143" s="139"/>
      <c r="Z143" s="139"/>
      <c r="AA143" s="129"/>
      <c r="AB143" s="146"/>
      <c r="AC143" s="147"/>
      <c r="AD143" s="149"/>
      <c r="AE143" s="149"/>
      <c r="AF143" s="149"/>
      <c r="AG143" s="150"/>
      <c r="AH143" s="150"/>
      <c r="AI143" s="151"/>
    </row>
    <row r="144" ht="15.75" customHeight="1">
      <c r="A144" s="129"/>
      <c r="B144" s="130"/>
      <c r="C144" s="129"/>
      <c r="D144" s="129"/>
      <c r="E144" s="138"/>
      <c r="F144" s="139"/>
      <c r="G144" s="140"/>
      <c r="H144" s="141"/>
      <c r="I144" s="142"/>
      <c r="J144" s="143"/>
      <c r="K144" s="141"/>
      <c r="L144" s="144"/>
      <c r="M144" s="129"/>
      <c r="N144" s="129"/>
      <c r="O144" s="145"/>
      <c r="P144" s="129"/>
      <c r="Q144" s="129"/>
      <c r="R144" s="129"/>
      <c r="S144" s="139"/>
      <c r="T144" s="139"/>
      <c r="U144" s="139"/>
      <c r="V144" s="139"/>
      <c r="W144" s="139"/>
      <c r="X144" s="139"/>
      <c r="Y144" s="139"/>
      <c r="Z144" s="139"/>
      <c r="AA144" s="129"/>
      <c r="AB144" s="146"/>
      <c r="AC144" s="147"/>
      <c r="AD144" s="149"/>
      <c r="AE144" s="149"/>
      <c r="AF144" s="149"/>
      <c r="AG144" s="150"/>
      <c r="AH144" s="150"/>
      <c r="AI144" s="151"/>
    </row>
    <row r="145" ht="15.75" customHeight="1">
      <c r="A145" s="129"/>
      <c r="B145" s="130"/>
      <c r="C145" s="129"/>
      <c r="D145" s="129"/>
      <c r="E145" s="138"/>
      <c r="F145" s="139"/>
      <c r="G145" s="140"/>
      <c r="H145" s="141"/>
      <c r="I145" s="142"/>
      <c r="J145" s="143"/>
      <c r="K145" s="141"/>
      <c r="L145" s="144"/>
      <c r="M145" s="129"/>
      <c r="N145" s="129"/>
      <c r="O145" s="145"/>
      <c r="P145" s="129"/>
      <c r="Q145" s="129"/>
      <c r="R145" s="129"/>
      <c r="S145" s="139"/>
      <c r="T145" s="139"/>
      <c r="U145" s="139"/>
      <c r="V145" s="139"/>
      <c r="W145" s="139"/>
      <c r="X145" s="139"/>
      <c r="Y145" s="139"/>
      <c r="Z145" s="139"/>
      <c r="AA145" s="129"/>
      <c r="AB145" s="146"/>
      <c r="AC145" s="147"/>
      <c r="AD145" s="149"/>
      <c r="AE145" s="149"/>
      <c r="AF145" s="149"/>
      <c r="AG145" s="150"/>
      <c r="AH145" s="150"/>
      <c r="AI145" s="151"/>
    </row>
    <row r="146" ht="15.75" customHeight="1">
      <c r="A146" s="129"/>
      <c r="B146" s="130"/>
      <c r="C146" s="129"/>
      <c r="D146" s="129"/>
      <c r="E146" s="138"/>
      <c r="F146" s="139"/>
      <c r="G146" s="140"/>
      <c r="H146" s="141"/>
      <c r="I146" s="142"/>
      <c r="J146" s="143"/>
      <c r="K146" s="141"/>
      <c r="L146" s="144"/>
      <c r="M146" s="129"/>
      <c r="N146" s="129"/>
      <c r="O146" s="145"/>
      <c r="P146" s="129"/>
      <c r="Q146" s="129"/>
      <c r="R146" s="129"/>
      <c r="S146" s="139"/>
      <c r="T146" s="139"/>
      <c r="U146" s="139"/>
      <c r="V146" s="139"/>
      <c r="W146" s="139"/>
      <c r="X146" s="139"/>
      <c r="Y146" s="139"/>
      <c r="Z146" s="139"/>
      <c r="AA146" s="129"/>
      <c r="AB146" s="146"/>
      <c r="AC146" s="147"/>
      <c r="AD146" s="149"/>
      <c r="AE146" s="149"/>
      <c r="AF146" s="149"/>
      <c r="AG146" s="150"/>
      <c r="AH146" s="150"/>
      <c r="AI146" s="151"/>
    </row>
    <row r="147" ht="15.75" customHeight="1">
      <c r="A147" s="129"/>
      <c r="B147" s="130"/>
      <c r="C147" s="129"/>
      <c r="D147" s="129"/>
      <c r="E147" s="138"/>
      <c r="F147" s="139"/>
      <c r="G147" s="140"/>
      <c r="H147" s="141"/>
      <c r="I147" s="142"/>
      <c r="J147" s="143"/>
      <c r="K147" s="141"/>
      <c r="L147" s="144"/>
      <c r="M147" s="129"/>
      <c r="N147" s="129"/>
      <c r="O147" s="145"/>
      <c r="P147" s="129"/>
      <c r="Q147" s="129"/>
      <c r="R147" s="129"/>
      <c r="S147" s="139"/>
      <c r="T147" s="139"/>
      <c r="U147" s="139"/>
      <c r="V147" s="139"/>
      <c r="W147" s="139"/>
      <c r="X147" s="139"/>
      <c r="Y147" s="139"/>
      <c r="Z147" s="139"/>
      <c r="AA147" s="129"/>
      <c r="AB147" s="146"/>
      <c r="AC147" s="147"/>
      <c r="AD147" s="149"/>
      <c r="AE147" s="149"/>
      <c r="AF147" s="149"/>
      <c r="AG147" s="150"/>
      <c r="AH147" s="150"/>
      <c r="AI147" s="151"/>
    </row>
    <row r="148" ht="15.75" customHeight="1">
      <c r="A148" s="129"/>
      <c r="B148" s="130"/>
      <c r="C148" s="129"/>
      <c r="D148" s="129"/>
      <c r="E148" s="138"/>
      <c r="F148" s="139"/>
      <c r="G148" s="140"/>
      <c r="H148" s="141"/>
      <c r="I148" s="142"/>
      <c r="J148" s="143"/>
      <c r="K148" s="141"/>
      <c r="L148" s="144"/>
      <c r="M148" s="129"/>
      <c r="N148" s="129"/>
      <c r="O148" s="145"/>
      <c r="P148" s="129"/>
      <c r="Q148" s="129"/>
      <c r="R148" s="129"/>
      <c r="S148" s="139"/>
      <c r="T148" s="139"/>
      <c r="U148" s="139"/>
      <c r="V148" s="139"/>
      <c r="W148" s="139"/>
      <c r="X148" s="139"/>
      <c r="Y148" s="139"/>
      <c r="Z148" s="139"/>
      <c r="AA148" s="129"/>
      <c r="AB148" s="146"/>
      <c r="AC148" s="147"/>
      <c r="AD148" s="149"/>
      <c r="AE148" s="149"/>
      <c r="AF148" s="149"/>
      <c r="AG148" s="150"/>
      <c r="AH148" s="150"/>
      <c r="AI148" s="151"/>
    </row>
    <row r="149" ht="15.75" customHeight="1">
      <c r="A149" s="129"/>
      <c r="B149" s="130"/>
      <c r="C149" s="129"/>
      <c r="D149" s="129"/>
      <c r="E149" s="138"/>
      <c r="F149" s="139"/>
      <c r="G149" s="140"/>
      <c r="H149" s="141"/>
      <c r="I149" s="142"/>
      <c r="J149" s="143"/>
      <c r="K149" s="141"/>
      <c r="L149" s="144"/>
      <c r="M149" s="129"/>
      <c r="N149" s="129"/>
      <c r="O149" s="145"/>
      <c r="P149" s="129"/>
      <c r="Q149" s="129"/>
      <c r="R149" s="129"/>
      <c r="S149" s="139"/>
      <c r="T149" s="139"/>
      <c r="U149" s="139"/>
      <c r="V149" s="139"/>
      <c r="W149" s="139"/>
      <c r="X149" s="139"/>
      <c r="Y149" s="139"/>
      <c r="Z149" s="139"/>
      <c r="AA149" s="129"/>
      <c r="AB149" s="146"/>
      <c r="AC149" s="147"/>
      <c r="AD149" s="149"/>
      <c r="AE149" s="149"/>
      <c r="AF149" s="149"/>
      <c r="AG149" s="150"/>
      <c r="AH149" s="150"/>
      <c r="AI149" s="151"/>
    </row>
    <row r="150" ht="15.75" customHeight="1">
      <c r="A150" s="129"/>
      <c r="B150" s="130"/>
      <c r="C150" s="129"/>
      <c r="D150" s="129"/>
      <c r="E150" s="138"/>
      <c r="F150" s="139"/>
      <c r="G150" s="140"/>
      <c r="H150" s="141"/>
      <c r="I150" s="142"/>
      <c r="J150" s="143"/>
      <c r="K150" s="141"/>
      <c r="L150" s="144"/>
      <c r="M150" s="129"/>
      <c r="N150" s="129"/>
      <c r="O150" s="145"/>
      <c r="P150" s="129"/>
      <c r="Q150" s="129"/>
      <c r="R150" s="129"/>
      <c r="S150" s="139"/>
      <c r="T150" s="139"/>
      <c r="U150" s="139"/>
      <c r="V150" s="139"/>
      <c r="W150" s="139"/>
      <c r="X150" s="139"/>
      <c r="Y150" s="139"/>
      <c r="Z150" s="139"/>
      <c r="AA150" s="129"/>
      <c r="AB150" s="146"/>
      <c r="AC150" s="147"/>
      <c r="AD150" s="149"/>
      <c r="AE150" s="149"/>
      <c r="AF150" s="149"/>
      <c r="AG150" s="150"/>
      <c r="AH150" s="150"/>
      <c r="AI150" s="151"/>
    </row>
    <row r="151" ht="15.75" customHeight="1">
      <c r="A151" s="129"/>
      <c r="B151" s="130"/>
      <c r="C151" s="129"/>
      <c r="D151" s="129"/>
      <c r="E151" s="138"/>
      <c r="F151" s="139"/>
      <c r="G151" s="140"/>
      <c r="H151" s="141"/>
      <c r="I151" s="142"/>
      <c r="J151" s="143"/>
      <c r="K151" s="141"/>
      <c r="L151" s="144"/>
      <c r="M151" s="129"/>
      <c r="N151" s="129"/>
      <c r="O151" s="145"/>
      <c r="P151" s="129"/>
      <c r="Q151" s="129"/>
      <c r="R151" s="129"/>
      <c r="S151" s="139"/>
      <c r="T151" s="139"/>
      <c r="U151" s="139"/>
      <c r="V151" s="139"/>
      <c r="W151" s="139"/>
      <c r="X151" s="139"/>
      <c r="Y151" s="139"/>
      <c r="Z151" s="139"/>
      <c r="AA151" s="129"/>
      <c r="AB151" s="146"/>
      <c r="AC151" s="147"/>
      <c r="AD151" s="149"/>
      <c r="AE151" s="149"/>
      <c r="AF151" s="149"/>
      <c r="AG151" s="150"/>
      <c r="AH151" s="150"/>
      <c r="AI151" s="151"/>
    </row>
    <row r="152" ht="15.75" customHeight="1">
      <c r="A152" s="129"/>
      <c r="B152" s="130"/>
      <c r="C152" s="129"/>
      <c r="D152" s="129"/>
      <c r="E152" s="138"/>
      <c r="F152" s="139"/>
      <c r="G152" s="140"/>
      <c r="H152" s="141"/>
      <c r="I152" s="142"/>
      <c r="J152" s="143"/>
      <c r="K152" s="141"/>
      <c r="L152" s="144"/>
      <c r="M152" s="129"/>
      <c r="N152" s="129"/>
      <c r="O152" s="145"/>
      <c r="P152" s="129"/>
      <c r="Q152" s="129"/>
      <c r="R152" s="129"/>
      <c r="S152" s="139"/>
      <c r="T152" s="139"/>
      <c r="U152" s="139"/>
      <c r="V152" s="139"/>
      <c r="W152" s="139"/>
      <c r="X152" s="139"/>
      <c r="Y152" s="139"/>
      <c r="Z152" s="139"/>
      <c r="AA152" s="129"/>
      <c r="AB152" s="146"/>
      <c r="AC152" s="147"/>
      <c r="AD152" s="149"/>
      <c r="AE152" s="149"/>
      <c r="AF152" s="149"/>
      <c r="AG152" s="150"/>
      <c r="AH152" s="150"/>
      <c r="AI152" s="151"/>
    </row>
    <row r="153" ht="15.75" customHeight="1">
      <c r="A153" s="129"/>
      <c r="B153" s="130"/>
      <c r="C153" s="129"/>
      <c r="D153" s="129"/>
      <c r="E153" s="138"/>
      <c r="F153" s="139"/>
      <c r="G153" s="140"/>
      <c r="H153" s="141"/>
      <c r="I153" s="142"/>
      <c r="J153" s="143"/>
      <c r="K153" s="141"/>
      <c r="L153" s="144"/>
      <c r="M153" s="129"/>
      <c r="N153" s="129"/>
      <c r="O153" s="145"/>
      <c r="P153" s="129"/>
      <c r="Q153" s="129"/>
      <c r="R153" s="129"/>
      <c r="S153" s="139"/>
      <c r="T153" s="139"/>
      <c r="U153" s="139"/>
      <c r="V153" s="139"/>
      <c r="W153" s="139"/>
      <c r="X153" s="139"/>
      <c r="Y153" s="139"/>
      <c r="Z153" s="139"/>
      <c r="AA153" s="129"/>
      <c r="AB153" s="146"/>
      <c r="AC153" s="147"/>
      <c r="AD153" s="149"/>
      <c r="AE153" s="149"/>
      <c r="AF153" s="149"/>
      <c r="AG153" s="150"/>
      <c r="AH153" s="150"/>
      <c r="AI153" s="151"/>
    </row>
    <row r="154" ht="15.75" customHeight="1">
      <c r="A154" s="129"/>
      <c r="B154" s="130"/>
      <c r="C154" s="129"/>
      <c r="D154" s="129"/>
      <c r="E154" s="138"/>
      <c r="F154" s="139"/>
      <c r="G154" s="140"/>
      <c r="H154" s="141"/>
      <c r="I154" s="142"/>
      <c r="J154" s="143"/>
      <c r="K154" s="141"/>
      <c r="L154" s="144"/>
      <c r="M154" s="129"/>
      <c r="N154" s="129"/>
      <c r="O154" s="145"/>
      <c r="P154" s="129"/>
      <c r="Q154" s="129"/>
      <c r="R154" s="129"/>
      <c r="S154" s="139"/>
      <c r="T154" s="139"/>
      <c r="U154" s="139"/>
      <c r="V154" s="139"/>
      <c r="W154" s="139"/>
      <c r="X154" s="139"/>
      <c r="Y154" s="139"/>
      <c r="Z154" s="139"/>
      <c r="AA154" s="129"/>
      <c r="AB154" s="146"/>
      <c r="AC154" s="147"/>
      <c r="AD154" s="149"/>
      <c r="AE154" s="149"/>
      <c r="AF154" s="149"/>
      <c r="AG154" s="150"/>
      <c r="AH154" s="150"/>
      <c r="AI154" s="151"/>
    </row>
    <row r="155" ht="15.75" customHeight="1">
      <c r="A155" s="129"/>
      <c r="B155" s="130"/>
      <c r="C155" s="129"/>
      <c r="D155" s="129"/>
      <c r="E155" s="138"/>
      <c r="F155" s="139"/>
      <c r="G155" s="140"/>
      <c r="H155" s="141"/>
      <c r="I155" s="142"/>
      <c r="J155" s="143"/>
      <c r="K155" s="141"/>
      <c r="L155" s="144"/>
      <c r="M155" s="129"/>
      <c r="N155" s="129"/>
      <c r="O155" s="145"/>
      <c r="P155" s="129"/>
      <c r="Q155" s="129"/>
      <c r="R155" s="129"/>
      <c r="S155" s="139"/>
      <c r="T155" s="139"/>
      <c r="U155" s="139"/>
      <c r="V155" s="139"/>
      <c r="W155" s="139"/>
      <c r="X155" s="139"/>
      <c r="Y155" s="139"/>
      <c r="Z155" s="139"/>
      <c r="AA155" s="129"/>
      <c r="AB155" s="146"/>
      <c r="AC155" s="147"/>
      <c r="AD155" s="149"/>
      <c r="AE155" s="149"/>
      <c r="AF155" s="149"/>
      <c r="AG155" s="150"/>
      <c r="AH155" s="150"/>
      <c r="AI155" s="151"/>
    </row>
    <row r="156" ht="15.75" customHeight="1">
      <c r="A156" s="129"/>
      <c r="B156" s="130"/>
      <c r="C156" s="129"/>
      <c r="D156" s="129"/>
      <c r="E156" s="138"/>
      <c r="F156" s="139"/>
      <c r="G156" s="140"/>
      <c r="H156" s="141"/>
      <c r="I156" s="142"/>
      <c r="J156" s="143"/>
      <c r="K156" s="141"/>
      <c r="L156" s="144"/>
      <c r="M156" s="129"/>
      <c r="N156" s="129"/>
      <c r="O156" s="145"/>
      <c r="P156" s="129"/>
      <c r="Q156" s="129"/>
      <c r="R156" s="129"/>
      <c r="S156" s="139"/>
      <c r="T156" s="139"/>
      <c r="U156" s="139"/>
      <c r="V156" s="139"/>
      <c r="W156" s="139"/>
      <c r="X156" s="139"/>
      <c r="Y156" s="139"/>
      <c r="Z156" s="139"/>
      <c r="AA156" s="129"/>
      <c r="AB156" s="146"/>
      <c r="AC156" s="147"/>
      <c r="AD156" s="149"/>
      <c r="AE156" s="149"/>
      <c r="AF156" s="149"/>
      <c r="AG156" s="150"/>
      <c r="AH156" s="150"/>
      <c r="AI156" s="151"/>
    </row>
    <row r="157" ht="15.75" customHeight="1">
      <c r="A157" s="129"/>
      <c r="B157" s="130"/>
      <c r="C157" s="129"/>
      <c r="D157" s="129"/>
      <c r="E157" s="138"/>
      <c r="F157" s="139"/>
      <c r="G157" s="140"/>
      <c r="H157" s="141"/>
      <c r="I157" s="142"/>
      <c r="J157" s="143"/>
      <c r="K157" s="141"/>
      <c r="L157" s="144"/>
      <c r="M157" s="129"/>
      <c r="N157" s="129"/>
      <c r="O157" s="145"/>
      <c r="P157" s="129"/>
      <c r="Q157" s="129"/>
      <c r="R157" s="129"/>
      <c r="S157" s="139"/>
      <c r="T157" s="139"/>
      <c r="U157" s="139"/>
      <c r="V157" s="139"/>
      <c r="W157" s="139"/>
      <c r="X157" s="139"/>
      <c r="Y157" s="139"/>
      <c r="Z157" s="139"/>
      <c r="AA157" s="129"/>
      <c r="AB157" s="146"/>
      <c r="AC157" s="147"/>
      <c r="AD157" s="149"/>
      <c r="AE157" s="149"/>
      <c r="AF157" s="149"/>
      <c r="AG157" s="150"/>
      <c r="AH157" s="150"/>
      <c r="AI157" s="151"/>
    </row>
    <row r="158" ht="15.75" customHeight="1">
      <c r="A158" s="129"/>
      <c r="B158" s="130"/>
      <c r="C158" s="129"/>
      <c r="D158" s="129"/>
      <c r="E158" s="138"/>
      <c r="F158" s="139"/>
      <c r="G158" s="140"/>
      <c r="H158" s="141"/>
      <c r="I158" s="142"/>
      <c r="J158" s="143"/>
      <c r="K158" s="141"/>
      <c r="L158" s="144"/>
      <c r="M158" s="129"/>
      <c r="N158" s="129"/>
      <c r="O158" s="145"/>
      <c r="P158" s="129"/>
      <c r="Q158" s="129"/>
      <c r="R158" s="129"/>
      <c r="S158" s="139"/>
      <c r="T158" s="139"/>
      <c r="U158" s="139"/>
      <c r="V158" s="139"/>
      <c r="W158" s="139"/>
      <c r="X158" s="139"/>
      <c r="Y158" s="139"/>
      <c r="Z158" s="139"/>
      <c r="AA158" s="129"/>
      <c r="AB158" s="146"/>
      <c r="AC158" s="147"/>
      <c r="AD158" s="149"/>
      <c r="AE158" s="149"/>
      <c r="AF158" s="149"/>
      <c r="AG158" s="150"/>
      <c r="AH158" s="150"/>
      <c r="AI158" s="151"/>
    </row>
    <row r="159" ht="15.75" customHeight="1">
      <c r="A159" s="129"/>
      <c r="B159" s="130"/>
      <c r="C159" s="129"/>
      <c r="D159" s="129"/>
      <c r="E159" s="138"/>
      <c r="F159" s="139"/>
      <c r="G159" s="140"/>
      <c r="H159" s="141"/>
      <c r="I159" s="142"/>
      <c r="J159" s="143"/>
      <c r="K159" s="141"/>
      <c r="L159" s="144"/>
      <c r="M159" s="129"/>
      <c r="N159" s="129"/>
      <c r="O159" s="145"/>
      <c r="P159" s="129"/>
      <c r="Q159" s="129"/>
      <c r="R159" s="129"/>
      <c r="S159" s="139"/>
      <c r="T159" s="139"/>
      <c r="U159" s="139"/>
      <c r="V159" s="139"/>
      <c r="W159" s="139"/>
      <c r="X159" s="139"/>
      <c r="Y159" s="139"/>
      <c r="Z159" s="139"/>
      <c r="AA159" s="129"/>
      <c r="AB159" s="146"/>
      <c r="AC159" s="147"/>
      <c r="AD159" s="149"/>
      <c r="AE159" s="149"/>
      <c r="AF159" s="149"/>
      <c r="AG159" s="150"/>
      <c r="AH159" s="150"/>
      <c r="AI159" s="151"/>
    </row>
    <row r="160" ht="15.75" customHeight="1">
      <c r="A160" s="129"/>
      <c r="B160" s="130"/>
      <c r="C160" s="129"/>
      <c r="D160" s="129"/>
      <c r="E160" s="138"/>
      <c r="F160" s="139"/>
      <c r="G160" s="140"/>
      <c r="H160" s="141"/>
      <c r="I160" s="142"/>
      <c r="J160" s="143"/>
      <c r="K160" s="141"/>
      <c r="L160" s="144"/>
      <c r="M160" s="129"/>
      <c r="N160" s="129"/>
      <c r="O160" s="145"/>
      <c r="P160" s="129"/>
      <c r="Q160" s="129"/>
      <c r="R160" s="129"/>
      <c r="S160" s="139"/>
      <c r="T160" s="139"/>
      <c r="U160" s="139"/>
      <c r="V160" s="139"/>
      <c r="W160" s="139"/>
      <c r="X160" s="139"/>
      <c r="Y160" s="139"/>
      <c r="Z160" s="139"/>
      <c r="AA160" s="129"/>
      <c r="AB160" s="146"/>
      <c r="AC160" s="147"/>
      <c r="AD160" s="149"/>
      <c r="AE160" s="149"/>
      <c r="AF160" s="149"/>
      <c r="AG160" s="150"/>
      <c r="AH160" s="150"/>
      <c r="AI160" s="151"/>
    </row>
    <row r="161" ht="15.75" customHeight="1">
      <c r="A161" s="129"/>
      <c r="B161" s="130"/>
      <c r="C161" s="129"/>
      <c r="D161" s="129"/>
      <c r="E161" s="138"/>
      <c r="F161" s="139"/>
      <c r="G161" s="140"/>
      <c r="H161" s="141"/>
      <c r="I161" s="142"/>
      <c r="J161" s="143"/>
      <c r="K161" s="141"/>
      <c r="L161" s="144"/>
      <c r="M161" s="129"/>
      <c r="N161" s="129"/>
      <c r="O161" s="145"/>
      <c r="P161" s="129"/>
      <c r="Q161" s="129"/>
      <c r="R161" s="129"/>
      <c r="S161" s="139"/>
      <c r="T161" s="139"/>
      <c r="U161" s="139"/>
      <c r="V161" s="139"/>
      <c r="W161" s="139"/>
      <c r="X161" s="139"/>
      <c r="Y161" s="139"/>
      <c r="Z161" s="139"/>
      <c r="AA161" s="129"/>
      <c r="AB161" s="146"/>
      <c r="AC161" s="147"/>
      <c r="AD161" s="149"/>
      <c r="AE161" s="149"/>
      <c r="AF161" s="149"/>
      <c r="AG161" s="150"/>
      <c r="AH161" s="150"/>
      <c r="AI161" s="151"/>
    </row>
    <row r="162" ht="15.75" customHeight="1">
      <c r="A162" s="129"/>
      <c r="B162" s="130"/>
      <c r="C162" s="129"/>
      <c r="D162" s="129"/>
      <c r="E162" s="138"/>
      <c r="F162" s="139"/>
      <c r="G162" s="140"/>
      <c r="H162" s="141"/>
      <c r="I162" s="142"/>
      <c r="J162" s="143"/>
      <c r="K162" s="141"/>
      <c r="L162" s="144"/>
      <c r="M162" s="129"/>
      <c r="N162" s="129"/>
      <c r="O162" s="145"/>
      <c r="P162" s="129"/>
      <c r="Q162" s="129"/>
      <c r="R162" s="129"/>
      <c r="S162" s="139"/>
      <c r="T162" s="139"/>
      <c r="U162" s="139"/>
      <c r="V162" s="139"/>
      <c r="W162" s="139"/>
      <c r="X162" s="139"/>
      <c r="Y162" s="139"/>
      <c r="Z162" s="139"/>
      <c r="AA162" s="129"/>
      <c r="AB162" s="146"/>
      <c r="AC162" s="147"/>
      <c r="AD162" s="149"/>
      <c r="AE162" s="149"/>
      <c r="AF162" s="149"/>
      <c r="AG162" s="150"/>
      <c r="AH162" s="150"/>
      <c r="AI162" s="151"/>
    </row>
    <row r="163" ht="15.75" customHeight="1">
      <c r="A163" s="129"/>
      <c r="B163" s="130"/>
      <c r="C163" s="129"/>
      <c r="D163" s="129"/>
      <c r="E163" s="138"/>
      <c r="F163" s="139"/>
      <c r="G163" s="140"/>
      <c r="H163" s="141"/>
      <c r="I163" s="142"/>
      <c r="J163" s="143"/>
      <c r="K163" s="141"/>
      <c r="L163" s="144"/>
      <c r="M163" s="129"/>
      <c r="N163" s="129"/>
      <c r="O163" s="145"/>
      <c r="P163" s="129"/>
      <c r="Q163" s="129"/>
      <c r="R163" s="129"/>
      <c r="S163" s="139"/>
      <c r="T163" s="139"/>
      <c r="U163" s="139"/>
      <c r="V163" s="139"/>
      <c r="W163" s="139"/>
      <c r="X163" s="139"/>
      <c r="Y163" s="139"/>
      <c r="Z163" s="139"/>
      <c r="AA163" s="129"/>
      <c r="AB163" s="146"/>
      <c r="AC163" s="147"/>
      <c r="AD163" s="149"/>
      <c r="AE163" s="149"/>
      <c r="AF163" s="149"/>
      <c r="AG163" s="150"/>
      <c r="AH163" s="150"/>
      <c r="AI163" s="151"/>
    </row>
    <row r="164" ht="15.75" customHeight="1">
      <c r="A164" s="129"/>
      <c r="B164" s="130"/>
      <c r="C164" s="129"/>
      <c r="D164" s="129"/>
      <c r="E164" s="138"/>
      <c r="F164" s="139"/>
      <c r="G164" s="140"/>
      <c r="H164" s="141"/>
      <c r="I164" s="142"/>
      <c r="J164" s="143"/>
      <c r="K164" s="141"/>
      <c r="L164" s="144"/>
      <c r="M164" s="129"/>
      <c r="N164" s="129"/>
      <c r="O164" s="145"/>
      <c r="P164" s="129"/>
      <c r="Q164" s="129"/>
      <c r="R164" s="129"/>
      <c r="S164" s="139"/>
      <c r="T164" s="139"/>
      <c r="U164" s="139"/>
      <c r="V164" s="139"/>
      <c r="W164" s="139"/>
      <c r="X164" s="139"/>
      <c r="Y164" s="139"/>
      <c r="Z164" s="139"/>
      <c r="AA164" s="129"/>
      <c r="AB164" s="146"/>
      <c r="AC164" s="147"/>
      <c r="AD164" s="149"/>
      <c r="AE164" s="149"/>
      <c r="AF164" s="149"/>
      <c r="AG164" s="150"/>
      <c r="AH164" s="150"/>
      <c r="AI164" s="151"/>
    </row>
    <row r="165" ht="15.75" customHeight="1">
      <c r="A165" s="129"/>
      <c r="B165" s="130"/>
      <c r="C165" s="129"/>
      <c r="D165" s="129"/>
      <c r="E165" s="138"/>
      <c r="F165" s="139"/>
      <c r="G165" s="140"/>
      <c r="H165" s="141"/>
      <c r="I165" s="142"/>
      <c r="J165" s="143"/>
      <c r="K165" s="141"/>
      <c r="L165" s="144"/>
      <c r="M165" s="129"/>
      <c r="N165" s="129"/>
      <c r="O165" s="145"/>
      <c r="P165" s="129"/>
      <c r="Q165" s="129"/>
      <c r="R165" s="129"/>
      <c r="S165" s="139"/>
      <c r="T165" s="139"/>
      <c r="U165" s="139"/>
      <c r="V165" s="139"/>
      <c r="W165" s="139"/>
      <c r="X165" s="139"/>
      <c r="Y165" s="139"/>
      <c r="Z165" s="139"/>
      <c r="AA165" s="129"/>
      <c r="AB165" s="146"/>
      <c r="AC165" s="147"/>
      <c r="AD165" s="149"/>
      <c r="AE165" s="149"/>
      <c r="AF165" s="149"/>
      <c r="AG165" s="150"/>
      <c r="AH165" s="150"/>
      <c r="AI165" s="151"/>
    </row>
    <row r="166" ht="15.75" customHeight="1">
      <c r="A166" s="129"/>
      <c r="B166" s="130"/>
      <c r="C166" s="129"/>
      <c r="D166" s="129"/>
      <c r="E166" s="138"/>
      <c r="F166" s="139"/>
      <c r="G166" s="140"/>
      <c r="H166" s="141"/>
      <c r="I166" s="142"/>
      <c r="J166" s="143"/>
      <c r="K166" s="141"/>
      <c r="L166" s="144"/>
      <c r="M166" s="129"/>
      <c r="N166" s="129"/>
      <c r="O166" s="145"/>
      <c r="P166" s="129"/>
      <c r="Q166" s="129"/>
      <c r="R166" s="129"/>
      <c r="S166" s="139"/>
      <c r="T166" s="139"/>
      <c r="U166" s="139"/>
      <c r="V166" s="139"/>
      <c r="W166" s="139"/>
      <c r="X166" s="139"/>
      <c r="Y166" s="139"/>
      <c r="Z166" s="139"/>
      <c r="AA166" s="129"/>
      <c r="AB166" s="146"/>
      <c r="AC166" s="147"/>
      <c r="AD166" s="149"/>
      <c r="AE166" s="149"/>
      <c r="AF166" s="149"/>
      <c r="AG166" s="150"/>
      <c r="AH166" s="150"/>
      <c r="AI166" s="151"/>
    </row>
    <row r="167" ht="15.75" customHeight="1">
      <c r="A167" s="129"/>
      <c r="B167" s="130"/>
      <c r="C167" s="129"/>
      <c r="D167" s="129"/>
      <c r="E167" s="138"/>
      <c r="F167" s="139"/>
      <c r="G167" s="140"/>
      <c r="H167" s="141"/>
      <c r="I167" s="142"/>
      <c r="J167" s="143"/>
      <c r="K167" s="141"/>
      <c r="L167" s="144"/>
      <c r="M167" s="129"/>
      <c r="N167" s="129"/>
      <c r="O167" s="145"/>
      <c r="P167" s="129"/>
      <c r="Q167" s="129"/>
      <c r="R167" s="129"/>
      <c r="S167" s="139"/>
      <c r="T167" s="139"/>
      <c r="U167" s="139"/>
      <c r="V167" s="139"/>
      <c r="W167" s="139"/>
      <c r="X167" s="139"/>
      <c r="Y167" s="139"/>
      <c r="Z167" s="139"/>
      <c r="AA167" s="129"/>
      <c r="AB167" s="146"/>
      <c r="AC167" s="147"/>
      <c r="AD167" s="149"/>
      <c r="AE167" s="149"/>
      <c r="AF167" s="149"/>
      <c r="AG167" s="150"/>
      <c r="AH167" s="150"/>
      <c r="AI167" s="151"/>
    </row>
    <row r="168" ht="15.75" customHeight="1">
      <c r="A168" s="129"/>
      <c r="B168" s="130"/>
      <c r="C168" s="129"/>
      <c r="D168" s="129"/>
      <c r="E168" s="138"/>
      <c r="F168" s="139"/>
      <c r="G168" s="140"/>
      <c r="H168" s="141"/>
      <c r="I168" s="142"/>
      <c r="J168" s="143"/>
      <c r="K168" s="141"/>
      <c r="L168" s="144"/>
      <c r="M168" s="129"/>
      <c r="N168" s="129"/>
      <c r="O168" s="145"/>
      <c r="P168" s="129"/>
      <c r="Q168" s="129"/>
      <c r="R168" s="129"/>
      <c r="S168" s="139"/>
      <c r="T168" s="139"/>
      <c r="U168" s="139"/>
      <c r="V168" s="139"/>
      <c r="W168" s="139"/>
      <c r="X168" s="139"/>
      <c r="Y168" s="139"/>
      <c r="Z168" s="139"/>
      <c r="AA168" s="129"/>
      <c r="AB168" s="146"/>
      <c r="AC168" s="147"/>
      <c r="AD168" s="149"/>
      <c r="AE168" s="149"/>
      <c r="AF168" s="149"/>
      <c r="AG168" s="150"/>
      <c r="AH168" s="150"/>
      <c r="AI168" s="151"/>
    </row>
    <row r="169" ht="15.75" customHeight="1">
      <c r="A169" s="129"/>
      <c r="B169" s="130"/>
      <c r="C169" s="129"/>
      <c r="D169" s="129"/>
      <c r="E169" s="138"/>
      <c r="F169" s="139"/>
      <c r="G169" s="140"/>
      <c r="H169" s="141"/>
      <c r="I169" s="142"/>
      <c r="J169" s="143"/>
      <c r="K169" s="141"/>
      <c r="L169" s="144"/>
      <c r="M169" s="129"/>
      <c r="N169" s="129"/>
      <c r="O169" s="145"/>
      <c r="P169" s="129"/>
      <c r="Q169" s="129"/>
      <c r="R169" s="129"/>
      <c r="S169" s="139"/>
      <c r="T169" s="139"/>
      <c r="U169" s="139"/>
      <c r="V169" s="139"/>
      <c r="W169" s="139"/>
      <c r="X169" s="139"/>
      <c r="Y169" s="139"/>
      <c r="Z169" s="139"/>
      <c r="AA169" s="129"/>
      <c r="AB169" s="146"/>
      <c r="AC169" s="147"/>
      <c r="AD169" s="149"/>
      <c r="AE169" s="149"/>
      <c r="AF169" s="149"/>
      <c r="AG169" s="150"/>
      <c r="AH169" s="150"/>
      <c r="AI169" s="151"/>
    </row>
    <row r="170" ht="15.75" customHeight="1">
      <c r="A170" s="129"/>
      <c r="B170" s="130"/>
      <c r="C170" s="129"/>
      <c r="D170" s="129"/>
      <c r="E170" s="138"/>
      <c r="F170" s="139"/>
      <c r="G170" s="140"/>
      <c r="H170" s="141"/>
      <c r="I170" s="142"/>
      <c r="J170" s="143"/>
      <c r="K170" s="141"/>
      <c r="L170" s="144"/>
      <c r="M170" s="129"/>
      <c r="N170" s="129"/>
      <c r="O170" s="145"/>
      <c r="P170" s="129"/>
      <c r="Q170" s="129"/>
      <c r="R170" s="129"/>
      <c r="S170" s="139"/>
      <c r="T170" s="139"/>
      <c r="U170" s="139"/>
      <c r="V170" s="139"/>
      <c r="W170" s="139"/>
      <c r="X170" s="139"/>
      <c r="Y170" s="139"/>
      <c r="Z170" s="139"/>
      <c r="AA170" s="129"/>
      <c r="AB170" s="146"/>
      <c r="AC170" s="147"/>
      <c r="AD170" s="149"/>
      <c r="AE170" s="149"/>
      <c r="AF170" s="149"/>
      <c r="AG170" s="150"/>
      <c r="AH170" s="150"/>
      <c r="AI170" s="151"/>
    </row>
    <row r="171" ht="15.75" customHeight="1">
      <c r="A171" s="129"/>
      <c r="B171" s="130"/>
      <c r="C171" s="129"/>
      <c r="D171" s="129"/>
      <c r="E171" s="138"/>
      <c r="F171" s="139"/>
      <c r="G171" s="140"/>
      <c r="H171" s="141"/>
      <c r="I171" s="142"/>
      <c r="J171" s="143"/>
      <c r="K171" s="141"/>
      <c r="L171" s="144"/>
      <c r="M171" s="129"/>
      <c r="N171" s="129"/>
      <c r="O171" s="145"/>
      <c r="P171" s="129"/>
      <c r="Q171" s="129"/>
      <c r="R171" s="129"/>
      <c r="S171" s="139"/>
      <c r="T171" s="139"/>
      <c r="U171" s="139"/>
      <c r="V171" s="139"/>
      <c r="W171" s="139"/>
      <c r="X171" s="139"/>
      <c r="Y171" s="139"/>
      <c r="Z171" s="139"/>
      <c r="AA171" s="129"/>
      <c r="AB171" s="146"/>
      <c r="AC171" s="147"/>
      <c r="AD171" s="149"/>
      <c r="AE171" s="149"/>
      <c r="AF171" s="149"/>
      <c r="AG171" s="150"/>
      <c r="AH171" s="150"/>
      <c r="AI171" s="151"/>
    </row>
    <row r="172" ht="15.75" customHeight="1">
      <c r="A172" s="129"/>
      <c r="B172" s="130"/>
      <c r="C172" s="129"/>
      <c r="D172" s="129"/>
      <c r="E172" s="138"/>
      <c r="F172" s="139"/>
      <c r="G172" s="140"/>
      <c r="H172" s="141"/>
      <c r="I172" s="142"/>
      <c r="J172" s="143"/>
      <c r="K172" s="141"/>
      <c r="L172" s="144"/>
      <c r="M172" s="129"/>
      <c r="N172" s="129"/>
      <c r="O172" s="145"/>
      <c r="P172" s="129"/>
      <c r="Q172" s="129"/>
      <c r="R172" s="129"/>
      <c r="S172" s="139"/>
      <c r="T172" s="139"/>
      <c r="U172" s="139"/>
      <c r="V172" s="139"/>
      <c r="W172" s="139"/>
      <c r="X172" s="139"/>
      <c r="Y172" s="139"/>
      <c r="Z172" s="139"/>
      <c r="AA172" s="129"/>
      <c r="AB172" s="146"/>
      <c r="AC172" s="147"/>
      <c r="AD172" s="149"/>
      <c r="AE172" s="149"/>
      <c r="AF172" s="149"/>
      <c r="AG172" s="150"/>
      <c r="AH172" s="150"/>
      <c r="AI172" s="151"/>
    </row>
    <row r="173" ht="15.75" customHeight="1">
      <c r="A173" s="129"/>
      <c r="B173" s="130"/>
      <c r="C173" s="129"/>
      <c r="D173" s="129"/>
      <c r="E173" s="138"/>
      <c r="F173" s="139"/>
      <c r="G173" s="140"/>
      <c r="H173" s="141"/>
      <c r="I173" s="142"/>
      <c r="J173" s="143"/>
      <c r="K173" s="141"/>
      <c r="L173" s="144"/>
      <c r="M173" s="129"/>
      <c r="N173" s="129"/>
      <c r="O173" s="145"/>
      <c r="P173" s="129"/>
      <c r="Q173" s="129"/>
      <c r="R173" s="129"/>
      <c r="S173" s="139"/>
      <c r="T173" s="139"/>
      <c r="U173" s="139"/>
      <c r="V173" s="139"/>
      <c r="W173" s="139"/>
      <c r="X173" s="139"/>
      <c r="Y173" s="139"/>
      <c r="Z173" s="139"/>
      <c r="AA173" s="129"/>
      <c r="AB173" s="146"/>
      <c r="AC173" s="147"/>
      <c r="AD173" s="149"/>
      <c r="AE173" s="149"/>
      <c r="AF173" s="149"/>
      <c r="AG173" s="150"/>
      <c r="AH173" s="150"/>
      <c r="AI173" s="151"/>
    </row>
    <row r="174" ht="15.75" customHeight="1">
      <c r="A174" s="129"/>
      <c r="B174" s="130"/>
      <c r="C174" s="129"/>
      <c r="D174" s="129"/>
      <c r="E174" s="138"/>
      <c r="F174" s="139"/>
      <c r="G174" s="140"/>
      <c r="H174" s="141"/>
      <c r="I174" s="142"/>
      <c r="J174" s="143"/>
      <c r="K174" s="141"/>
      <c r="L174" s="144"/>
      <c r="M174" s="129"/>
      <c r="N174" s="129"/>
      <c r="O174" s="145"/>
      <c r="P174" s="129"/>
      <c r="Q174" s="129"/>
      <c r="R174" s="129"/>
      <c r="S174" s="139"/>
      <c r="T174" s="139"/>
      <c r="U174" s="139"/>
      <c r="V174" s="139"/>
      <c r="W174" s="139"/>
      <c r="X174" s="139"/>
      <c r="Y174" s="139"/>
      <c r="Z174" s="139"/>
      <c r="AA174" s="129"/>
      <c r="AB174" s="146"/>
      <c r="AC174" s="147"/>
      <c r="AD174" s="149"/>
      <c r="AE174" s="149"/>
      <c r="AF174" s="149"/>
      <c r="AG174" s="150"/>
      <c r="AH174" s="150"/>
      <c r="AI174" s="151"/>
    </row>
    <row r="175" ht="15.75" customHeight="1">
      <c r="A175" s="129"/>
      <c r="B175" s="130"/>
      <c r="C175" s="129"/>
      <c r="D175" s="129"/>
      <c r="E175" s="138"/>
      <c r="F175" s="139"/>
      <c r="G175" s="140"/>
      <c r="H175" s="141"/>
      <c r="I175" s="142"/>
      <c r="J175" s="143"/>
      <c r="K175" s="141"/>
      <c r="L175" s="144"/>
      <c r="M175" s="129"/>
      <c r="N175" s="129"/>
      <c r="O175" s="145"/>
      <c r="P175" s="129"/>
      <c r="Q175" s="129"/>
      <c r="R175" s="129"/>
      <c r="S175" s="139"/>
      <c r="T175" s="139"/>
      <c r="U175" s="139"/>
      <c r="V175" s="139"/>
      <c r="W175" s="139"/>
      <c r="X175" s="139"/>
      <c r="Y175" s="139"/>
      <c r="Z175" s="139"/>
      <c r="AA175" s="129"/>
      <c r="AB175" s="146"/>
      <c r="AC175" s="147"/>
      <c r="AD175" s="149"/>
      <c r="AE175" s="149"/>
      <c r="AF175" s="149"/>
      <c r="AG175" s="150"/>
      <c r="AH175" s="150"/>
      <c r="AI175" s="151"/>
    </row>
    <row r="176" ht="15.75" customHeight="1">
      <c r="A176" s="129"/>
      <c r="B176" s="130"/>
      <c r="C176" s="129"/>
      <c r="D176" s="129"/>
      <c r="E176" s="138"/>
      <c r="F176" s="139"/>
      <c r="G176" s="140"/>
      <c r="H176" s="141"/>
      <c r="I176" s="142"/>
      <c r="J176" s="143"/>
      <c r="K176" s="141"/>
      <c r="L176" s="144"/>
      <c r="M176" s="129"/>
      <c r="N176" s="129"/>
      <c r="O176" s="145"/>
      <c r="P176" s="129"/>
      <c r="Q176" s="129"/>
      <c r="R176" s="129"/>
      <c r="S176" s="139"/>
      <c r="T176" s="139"/>
      <c r="U176" s="139"/>
      <c r="V176" s="139"/>
      <c r="W176" s="139"/>
      <c r="X176" s="139"/>
      <c r="Y176" s="139"/>
      <c r="Z176" s="139"/>
      <c r="AA176" s="129"/>
      <c r="AB176" s="146"/>
      <c r="AC176" s="147"/>
      <c r="AD176" s="149"/>
      <c r="AE176" s="149"/>
      <c r="AF176" s="149"/>
      <c r="AG176" s="150"/>
      <c r="AH176" s="150"/>
      <c r="AI176" s="151"/>
    </row>
    <row r="177" ht="15.75" customHeight="1">
      <c r="A177" s="129"/>
      <c r="B177" s="130"/>
      <c r="C177" s="129"/>
      <c r="D177" s="129"/>
      <c r="E177" s="138"/>
      <c r="F177" s="139"/>
      <c r="G177" s="140"/>
      <c r="H177" s="141"/>
      <c r="I177" s="142"/>
      <c r="J177" s="143"/>
      <c r="K177" s="141"/>
      <c r="L177" s="144"/>
      <c r="M177" s="129"/>
      <c r="N177" s="129"/>
      <c r="O177" s="145"/>
      <c r="P177" s="129"/>
      <c r="Q177" s="129"/>
      <c r="R177" s="129"/>
      <c r="S177" s="139"/>
      <c r="T177" s="139"/>
      <c r="U177" s="139"/>
      <c r="V177" s="139"/>
      <c r="W177" s="139"/>
      <c r="X177" s="139"/>
      <c r="Y177" s="139"/>
      <c r="Z177" s="139"/>
      <c r="AA177" s="129"/>
      <c r="AB177" s="146"/>
      <c r="AC177" s="147"/>
      <c r="AD177" s="149"/>
      <c r="AE177" s="149"/>
      <c r="AF177" s="149"/>
      <c r="AG177" s="150"/>
      <c r="AH177" s="150"/>
      <c r="AI177" s="151"/>
    </row>
    <row r="178" ht="15.75" customHeight="1">
      <c r="A178" s="129"/>
      <c r="B178" s="130"/>
      <c r="C178" s="129"/>
      <c r="D178" s="129"/>
      <c r="E178" s="138"/>
      <c r="F178" s="139"/>
      <c r="G178" s="140"/>
      <c r="H178" s="141"/>
      <c r="I178" s="142"/>
      <c r="J178" s="143"/>
      <c r="K178" s="141"/>
      <c r="L178" s="144"/>
      <c r="M178" s="129"/>
      <c r="N178" s="129"/>
      <c r="O178" s="145"/>
      <c r="P178" s="129"/>
      <c r="Q178" s="129"/>
      <c r="R178" s="129"/>
      <c r="S178" s="139"/>
      <c r="T178" s="139"/>
      <c r="U178" s="139"/>
      <c r="V178" s="139"/>
      <c r="W178" s="139"/>
      <c r="X178" s="139"/>
      <c r="Y178" s="139"/>
      <c r="Z178" s="139"/>
      <c r="AA178" s="129"/>
      <c r="AB178" s="146"/>
      <c r="AC178" s="147"/>
      <c r="AD178" s="149"/>
      <c r="AE178" s="149"/>
      <c r="AF178" s="149"/>
      <c r="AG178" s="150"/>
      <c r="AH178" s="150"/>
      <c r="AI178" s="151"/>
    </row>
    <row r="179" ht="15.75" customHeight="1">
      <c r="A179" s="129"/>
      <c r="B179" s="130"/>
      <c r="C179" s="129"/>
      <c r="D179" s="129"/>
      <c r="E179" s="138"/>
      <c r="F179" s="139"/>
      <c r="G179" s="140"/>
      <c r="H179" s="141"/>
      <c r="I179" s="142"/>
      <c r="J179" s="143"/>
      <c r="K179" s="141"/>
      <c r="L179" s="144"/>
      <c r="M179" s="129"/>
      <c r="N179" s="129"/>
      <c r="O179" s="145"/>
      <c r="P179" s="129"/>
      <c r="Q179" s="129"/>
      <c r="R179" s="129"/>
      <c r="S179" s="139"/>
      <c r="T179" s="139"/>
      <c r="U179" s="139"/>
      <c r="V179" s="139"/>
      <c r="W179" s="139"/>
      <c r="X179" s="139"/>
      <c r="Y179" s="139"/>
      <c r="Z179" s="139"/>
      <c r="AA179" s="129"/>
      <c r="AB179" s="146"/>
      <c r="AC179" s="147"/>
      <c r="AD179" s="149"/>
      <c r="AE179" s="149"/>
      <c r="AF179" s="149"/>
      <c r="AG179" s="150"/>
      <c r="AH179" s="150"/>
      <c r="AI179" s="151"/>
    </row>
    <row r="180" ht="15.75" customHeight="1">
      <c r="A180" s="129"/>
      <c r="B180" s="130"/>
      <c r="C180" s="129"/>
      <c r="D180" s="129"/>
      <c r="E180" s="138"/>
      <c r="F180" s="139"/>
      <c r="G180" s="140"/>
      <c r="H180" s="141"/>
      <c r="I180" s="142"/>
      <c r="J180" s="143"/>
      <c r="K180" s="141"/>
      <c r="L180" s="144"/>
      <c r="M180" s="129"/>
      <c r="N180" s="129"/>
      <c r="O180" s="145"/>
      <c r="P180" s="129"/>
      <c r="Q180" s="129"/>
      <c r="R180" s="129"/>
      <c r="S180" s="139"/>
      <c r="T180" s="139"/>
      <c r="U180" s="139"/>
      <c r="V180" s="139"/>
      <c r="W180" s="139"/>
      <c r="X180" s="139"/>
      <c r="Y180" s="139"/>
      <c r="Z180" s="139"/>
      <c r="AA180" s="129"/>
      <c r="AB180" s="146"/>
      <c r="AC180" s="147"/>
      <c r="AD180" s="149"/>
      <c r="AE180" s="149"/>
      <c r="AF180" s="149"/>
      <c r="AG180" s="150"/>
      <c r="AH180" s="150"/>
      <c r="AI180" s="151"/>
    </row>
    <row r="181" ht="15.75" customHeight="1">
      <c r="A181" s="129"/>
      <c r="B181" s="130"/>
      <c r="C181" s="129"/>
      <c r="D181" s="129"/>
      <c r="E181" s="138"/>
      <c r="F181" s="139"/>
      <c r="G181" s="140"/>
      <c r="H181" s="141"/>
      <c r="I181" s="142"/>
      <c r="J181" s="143"/>
      <c r="K181" s="141"/>
      <c r="L181" s="144"/>
      <c r="M181" s="129"/>
      <c r="N181" s="129"/>
      <c r="O181" s="145"/>
      <c r="P181" s="129"/>
      <c r="Q181" s="129"/>
      <c r="R181" s="129"/>
      <c r="S181" s="139"/>
      <c r="T181" s="139"/>
      <c r="U181" s="139"/>
      <c r="V181" s="139"/>
      <c r="W181" s="139"/>
      <c r="X181" s="139"/>
      <c r="Y181" s="139"/>
      <c r="Z181" s="139"/>
      <c r="AA181" s="129"/>
      <c r="AB181" s="146"/>
      <c r="AC181" s="147"/>
      <c r="AD181" s="149"/>
      <c r="AE181" s="149"/>
      <c r="AF181" s="149"/>
      <c r="AG181" s="150"/>
      <c r="AH181" s="150"/>
      <c r="AI181" s="151"/>
    </row>
    <row r="182" ht="15.75" customHeight="1">
      <c r="A182" s="129"/>
      <c r="B182" s="130"/>
      <c r="C182" s="129"/>
      <c r="D182" s="129"/>
      <c r="E182" s="138"/>
      <c r="F182" s="139"/>
      <c r="G182" s="140"/>
      <c r="H182" s="141"/>
      <c r="I182" s="142"/>
      <c r="J182" s="143"/>
      <c r="K182" s="141"/>
      <c r="L182" s="144"/>
      <c r="M182" s="129"/>
      <c r="N182" s="129"/>
      <c r="O182" s="145"/>
      <c r="P182" s="129"/>
      <c r="Q182" s="129"/>
      <c r="R182" s="129"/>
      <c r="S182" s="139"/>
      <c r="T182" s="139"/>
      <c r="U182" s="139"/>
      <c r="V182" s="139"/>
      <c r="W182" s="139"/>
      <c r="X182" s="139"/>
      <c r="Y182" s="139"/>
      <c r="Z182" s="139"/>
      <c r="AA182" s="129"/>
      <c r="AB182" s="146"/>
      <c r="AC182" s="147"/>
      <c r="AD182" s="149"/>
      <c r="AE182" s="149"/>
      <c r="AF182" s="149"/>
      <c r="AG182" s="150"/>
      <c r="AH182" s="150"/>
      <c r="AI182" s="151"/>
    </row>
    <row r="183" ht="15.75" customHeight="1">
      <c r="A183" s="129"/>
      <c r="B183" s="130"/>
      <c r="C183" s="129"/>
      <c r="D183" s="129"/>
      <c r="E183" s="138"/>
      <c r="F183" s="139"/>
      <c r="G183" s="140"/>
      <c r="H183" s="141"/>
      <c r="I183" s="142"/>
      <c r="J183" s="143"/>
      <c r="K183" s="141"/>
      <c r="L183" s="144"/>
      <c r="M183" s="129"/>
      <c r="N183" s="129"/>
      <c r="O183" s="145"/>
      <c r="P183" s="129"/>
      <c r="Q183" s="129"/>
      <c r="R183" s="129"/>
      <c r="S183" s="139"/>
      <c r="T183" s="139"/>
      <c r="U183" s="139"/>
      <c r="V183" s="139"/>
      <c r="W183" s="139"/>
      <c r="X183" s="139"/>
      <c r="Y183" s="139"/>
      <c r="Z183" s="139"/>
      <c r="AA183" s="129"/>
      <c r="AB183" s="146"/>
      <c r="AC183" s="147"/>
      <c r="AD183" s="149"/>
      <c r="AE183" s="149"/>
      <c r="AF183" s="149"/>
      <c r="AG183" s="150"/>
      <c r="AH183" s="150"/>
      <c r="AI183" s="151"/>
    </row>
    <row r="184" ht="15.75" customHeight="1">
      <c r="A184" s="129"/>
      <c r="B184" s="130"/>
      <c r="C184" s="129"/>
      <c r="D184" s="129"/>
      <c r="E184" s="138"/>
      <c r="F184" s="139"/>
      <c r="G184" s="140"/>
      <c r="H184" s="141"/>
      <c r="I184" s="142"/>
      <c r="J184" s="143"/>
      <c r="K184" s="141"/>
      <c r="L184" s="144"/>
      <c r="M184" s="129"/>
      <c r="N184" s="129"/>
      <c r="O184" s="145"/>
      <c r="P184" s="129"/>
      <c r="Q184" s="129"/>
      <c r="R184" s="129"/>
      <c r="S184" s="139"/>
      <c r="T184" s="139"/>
      <c r="U184" s="139"/>
      <c r="V184" s="139"/>
      <c r="W184" s="139"/>
      <c r="X184" s="139"/>
      <c r="Y184" s="139"/>
      <c r="Z184" s="139"/>
      <c r="AA184" s="129"/>
      <c r="AB184" s="146"/>
      <c r="AC184" s="147"/>
      <c r="AD184" s="149"/>
      <c r="AE184" s="149"/>
      <c r="AF184" s="149"/>
      <c r="AG184" s="150"/>
      <c r="AH184" s="150"/>
      <c r="AI184" s="151"/>
    </row>
    <row r="185" ht="15.75" customHeight="1">
      <c r="A185" s="129"/>
      <c r="B185" s="130"/>
      <c r="C185" s="129"/>
      <c r="D185" s="129"/>
      <c r="E185" s="138"/>
      <c r="F185" s="139"/>
      <c r="G185" s="140"/>
      <c r="H185" s="141"/>
      <c r="I185" s="142"/>
      <c r="J185" s="143"/>
      <c r="K185" s="141"/>
      <c r="L185" s="144"/>
      <c r="M185" s="129"/>
      <c r="N185" s="129"/>
      <c r="O185" s="145"/>
      <c r="P185" s="129"/>
      <c r="Q185" s="129"/>
      <c r="R185" s="129"/>
      <c r="S185" s="139"/>
      <c r="T185" s="139"/>
      <c r="U185" s="139"/>
      <c r="V185" s="139"/>
      <c r="W185" s="139"/>
      <c r="X185" s="139"/>
      <c r="Y185" s="139"/>
      <c r="Z185" s="139"/>
      <c r="AA185" s="129"/>
      <c r="AB185" s="146"/>
      <c r="AC185" s="147"/>
      <c r="AD185" s="149"/>
      <c r="AE185" s="149"/>
      <c r="AF185" s="149"/>
      <c r="AG185" s="150"/>
      <c r="AH185" s="150"/>
      <c r="AI185" s="151"/>
    </row>
    <row r="186" ht="15.75" customHeight="1">
      <c r="A186" s="129"/>
      <c r="B186" s="130"/>
      <c r="C186" s="129"/>
      <c r="D186" s="129"/>
      <c r="E186" s="138"/>
      <c r="F186" s="139"/>
      <c r="G186" s="140"/>
      <c r="H186" s="141"/>
      <c r="I186" s="142"/>
      <c r="J186" s="143"/>
      <c r="K186" s="141"/>
      <c r="L186" s="144"/>
      <c r="M186" s="129"/>
      <c r="N186" s="129"/>
      <c r="O186" s="145"/>
      <c r="P186" s="129"/>
      <c r="Q186" s="129"/>
      <c r="R186" s="129"/>
      <c r="S186" s="139"/>
      <c r="T186" s="139"/>
      <c r="U186" s="139"/>
      <c r="V186" s="139"/>
      <c r="W186" s="139"/>
      <c r="X186" s="139"/>
      <c r="Y186" s="139"/>
      <c r="Z186" s="139"/>
      <c r="AA186" s="129"/>
      <c r="AB186" s="146"/>
      <c r="AC186" s="147"/>
      <c r="AD186" s="149"/>
      <c r="AE186" s="149"/>
      <c r="AF186" s="149"/>
      <c r="AG186" s="150"/>
      <c r="AH186" s="150"/>
      <c r="AI186" s="151"/>
    </row>
    <row r="187" ht="15.75" customHeight="1">
      <c r="A187" s="129"/>
      <c r="B187" s="130"/>
      <c r="C187" s="129"/>
      <c r="D187" s="129"/>
      <c r="E187" s="138"/>
      <c r="F187" s="139"/>
      <c r="G187" s="140"/>
      <c r="H187" s="141"/>
      <c r="I187" s="142"/>
      <c r="J187" s="143"/>
      <c r="K187" s="141"/>
      <c r="L187" s="144"/>
      <c r="M187" s="129"/>
      <c r="N187" s="129"/>
      <c r="O187" s="145"/>
      <c r="P187" s="129"/>
      <c r="Q187" s="129"/>
      <c r="R187" s="129"/>
      <c r="S187" s="139"/>
      <c r="T187" s="139"/>
      <c r="U187" s="139"/>
      <c r="V187" s="139"/>
      <c r="W187" s="139"/>
      <c r="X187" s="139"/>
      <c r="Y187" s="139"/>
      <c r="Z187" s="139"/>
      <c r="AA187" s="129"/>
      <c r="AB187" s="146"/>
      <c r="AC187" s="147"/>
      <c r="AD187" s="149"/>
      <c r="AE187" s="149"/>
      <c r="AF187" s="149"/>
      <c r="AG187" s="150"/>
      <c r="AH187" s="150"/>
      <c r="AI187" s="151"/>
    </row>
    <row r="188" ht="15.75" customHeight="1">
      <c r="A188" s="129"/>
      <c r="B188" s="130"/>
      <c r="C188" s="129"/>
      <c r="D188" s="129"/>
      <c r="E188" s="138"/>
      <c r="F188" s="139"/>
      <c r="G188" s="140"/>
      <c r="H188" s="141"/>
      <c r="I188" s="142"/>
      <c r="J188" s="143"/>
      <c r="K188" s="141"/>
      <c r="L188" s="144"/>
      <c r="M188" s="129"/>
      <c r="N188" s="129"/>
      <c r="O188" s="145"/>
      <c r="P188" s="129"/>
      <c r="Q188" s="129"/>
      <c r="R188" s="129"/>
      <c r="S188" s="139"/>
      <c r="T188" s="139"/>
      <c r="U188" s="139"/>
      <c r="V188" s="139"/>
      <c r="W188" s="139"/>
      <c r="X188" s="139"/>
      <c r="Y188" s="139"/>
      <c r="Z188" s="139"/>
      <c r="AA188" s="129"/>
      <c r="AB188" s="146"/>
      <c r="AC188" s="147"/>
      <c r="AD188" s="149"/>
      <c r="AE188" s="149"/>
      <c r="AF188" s="149"/>
      <c r="AG188" s="150"/>
      <c r="AH188" s="150"/>
      <c r="AI188" s="151"/>
    </row>
    <row r="189" ht="15.75" customHeight="1">
      <c r="A189" s="129"/>
      <c r="B189" s="130"/>
      <c r="C189" s="129"/>
      <c r="D189" s="129"/>
      <c r="E189" s="138"/>
      <c r="F189" s="139"/>
      <c r="G189" s="140"/>
      <c r="H189" s="141"/>
      <c r="I189" s="142"/>
      <c r="J189" s="143"/>
      <c r="K189" s="141"/>
      <c r="L189" s="144"/>
      <c r="M189" s="129"/>
      <c r="N189" s="129"/>
      <c r="O189" s="145"/>
      <c r="P189" s="129"/>
      <c r="Q189" s="129"/>
      <c r="R189" s="129"/>
      <c r="S189" s="139"/>
      <c r="T189" s="139"/>
      <c r="U189" s="139"/>
      <c r="V189" s="139"/>
      <c r="W189" s="139"/>
      <c r="X189" s="139"/>
      <c r="Y189" s="139"/>
      <c r="Z189" s="139"/>
      <c r="AA189" s="129"/>
      <c r="AB189" s="146"/>
      <c r="AC189" s="147"/>
      <c r="AD189" s="149"/>
      <c r="AE189" s="149"/>
      <c r="AF189" s="149"/>
      <c r="AG189" s="150"/>
      <c r="AH189" s="150"/>
      <c r="AI189" s="151"/>
    </row>
    <row r="190" ht="15.75" customHeight="1">
      <c r="A190" s="129"/>
      <c r="B190" s="130"/>
      <c r="C190" s="129"/>
      <c r="D190" s="129"/>
      <c r="E190" s="138"/>
      <c r="F190" s="139"/>
      <c r="G190" s="140"/>
      <c r="H190" s="141"/>
      <c r="I190" s="142"/>
      <c r="J190" s="143"/>
      <c r="K190" s="141"/>
      <c r="L190" s="144"/>
      <c r="M190" s="129"/>
      <c r="N190" s="129"/>
      <c r="O190" s="145"/>
      <c r="P190" s="129"/>
      <c r="Q190" s="129"/>
      <c r="R190" s="129"/>
      <c r="S190" s="139"/>
      <c r="T190" s="139"/>
      <c r="U190" s="139"/>
      <c r="V190" s="139"/>
      <c r="W190" s="139"/>
      <c r="X190" s="139"/>
      <c r="Y190" s="139"/>
      <c r="Z190" s="139"/>
      <c r="AA190" s="129"/>
      <c r="AB190" s="146"/>
      <c r="AC190" s="147"/>
      <c r="AD190" s="149"/>
      <c r="AE190" s="149"/>
      <c r="AF190" s="149"/>
      <c r="AG190" s="150"/>
      <c r="AH190" s="150"/>
      <c r="AI190" s="151"/>
    </row>
    <row r="191" ht="15.75" customHeight="1">
      <c r="A191" s="129"/>
      <c r="B191" s="130"/>
      <c r="C191" s="129"/>
      <c r="D191" s="129"/>
      <c r="E191" s="138"/>
      <c r="F191" s="139"/>
      <c r="G191" s="140"/>
      <c r="H191" s="141"/>
      <c r="I191" s="142"/>
      <c r="J191" s="143"/>
      <c r="K191" s="141"/>
      <c r="L191" s="144"/>
      <c r="M191" s="129"/>
      <c r="N191" s="129"/>
      <c r="O191" s="145"/>
      <c r="P191" s="129"/>
      <c r="Q191" s="129"/>
      <c r="R191" s="129"/>
      <c r="S191" s="139"/>
      <c r="T191" s="139"/>
      <c r="U191" s="139"/>
      <c r="V191" s="139"/>
      <c r="W191" s="139"/>
      <c r="X191" s="139"/>
      <c r="Y191" s="139"/>
      <c r="Z191" s="139"/>
      <c r="AA191" s="129"/>
      <c r="AB191" s="146"/>
      <c r="AC191" s="147"/>
      <c r="AD191" s="149"/>
      <c r="AE191" s="149"/>
      <c r="AF191" s="149"/>
      <c r="AG191" s="150"/>
      <c r="AH191" s="150"/>
      <c r="AI191" s="151"/>
    </row>
    <row r="192" ht="15.75" customHeight="1">
      <c r="A192" s="129"/>
      <c r="B192" s="130"/>
      <c r="C192" s="129"/>
      <c r="D192" s="129"/>
      <c r="E192" s="138"/>
      <c r="F192" s="139"/>
      <c r="G192" s="140"/>
      <c r="H192" s="141"/>
      <c r="I192" s="142"/>
      <c r="J192" s="143"/>
      <c r="K192" s="141"/>
      <c r="L192" s="144"/>
      <c r="M192" s="129"/>
      <c r="N192" s="129"/>
      <c r="O192" s="145"/>
      <c r="P192" s="129"/>
      <c r="Q192" s="129"/>
      <c r="R192" s="129"/>
      <c r="S192" s="139"/>
      <c r="T192" s="139"/>
      <c r="U192" s="139"/>
      <c r="V192" s="139"/>
      <c r="W192" s="139"/>
      <c r="X192" s="139"/>
      <c r="Y192" s="139"/>
      <c r="Z192" s="139"/>
      <c r="AA192" s="129"/>
      <c r="AB192" s="146"/>
      <c r="AC192" s="147"/>
      <c r="AD192" s="149"/>
      <c r="AE192" s="149"/>
      <c r="AF192" s="149"/>
      <c r="AG192" s="150"/>
      <c r="AH192" s="150"/>
      <c r="AI192" s="151"/>
    </row>
    <row r="193" ht="15.75" customHeight="1">
      <c r="A193" s="129"/>
      <c r="B193" s="130"/>
      <c r="C193" s="129"/>
      <c r="D193" s="129"/>
      <c r="E193" s="138"/>
      <c r="F193" s="139"/>
      <c r="G193" s="140"/>
      <c r="H193" s="141"/>
      <c r="I193" s="142"/>
      <c r="J193" s="143"/>
      <c r="K193" s="141"/>
      <c r="L193" s="144"/>
      <c r="M193" s="129"/>
      <c r="N193" s="129"/>
      <c r="O193" s="145"/>
      <c r="P193" s="129"/>
      <c r="Q193" s="129"/>
      <c r="R193" s="129"/>
      <c r="S193" s="139"/>
      <c r="T193" s="139"/>
      <c r="U193" s="139"/>
      <c r="V193" s="139"/>
      <c r="W193" s="139"/>
      <c r="X193" s="139"/>
      <c r="Y193" s="139"/>
      <c r="Z193" s="139"/>
      <c r="AA193" s="129"/>
      <c r="AB193" s="146"/>
      <c r="AC193" s="147"/>
      <c r="AD193" s="149"/>
      <c r="AE193" s="149"/>
      <c r="AF193" s="149"/>
      <c r="AG193" s="150"/>
      <c r="AH193" s="150"/>
      <c r="AI193" s="151"/>
    </row>
    <row r="194" ht="15.75" customHeight="1">
      <c r="A194" s="129"/>
      <c r="B194" s="130"/>
      <c r="C194" s="129"/>
      <c r="D194" s="129"/>
      <c r="E194" s="138"/>
      <c r="F194" s="139"/>
      <c r="G194" s="140"/>
      <c r="H194" s="141"/>
      <c r="I194" s="142"/>
      <c r="J194" s="143"/>
      <c r="K194" s="141"/>
      <c r="L194" s="144"/>
      <c r="M194" s="129"/>
      <c r="N194" s="129"/>
      <c r="O194" s="145"/>
      <c r="P194" s="129"/>
      <c r="Q194" s="129"/>
      <c r="R194" s="129"/>
      <c r="S194" s="139"/>
      <c r="T194" s="139"/>
      <c r="U194" s="139"/>
      <c r="V194" s="139"/>
      <c r="W194" s="139"/>
      <c r="X194" s="139"/>
      <c r="Y194" s="139"/>
      <c r="Z194" s="139"/>
      <c r="AA194" s="129"/>
      <c r="AB194" s="146"/>
      <c r="AC194" s="147"/>
      <c r="AD194" s="149"/>
      <c r="AE194" s="149"/>
      <c r="AF194" s="149"/>
      <c r="AG194" s="150"/>
      <c r="AH194" s="150"/>
      <c r="AI194" s="151"/>
    </row>
    <row r="195" ht="15.75" customHeight="1">
      <c r="A195" s="129"/>
      <c r="B195" s="130"/>
      <c r="C195" s="129"/>
      <c r="D195" s="129"/>
      <c r="E195" s="138"/>
      <c r="F195" s="139"/>
      <c r="G195" s="140"/>
      <c r="H195" s="141"/>
      <c r="I195" s="142"/>
      <c r="J195" s="143"/>
      <c r="K195" s="141"/>
      <c r="L195" s="144"/>
      <c r="M195" s="129"/>
      <c r="N195" s="129"/>
      <c r="O195" s="145"/>
      <c r="P195" s="129"/>
      <c r="Q195" s="129"/>
      <c r="R195" s="129"/>
      <c r="S195" s="139"/>
      <c r="T195" s="139"/>
      <c r="U195" s="139"/>
      <c r="V195" s="139"/>
      <c r="W195" s="139"/>
      <c r="X195" s="139"/>
      <c r="Y195" s="139"/>
      <c r="Z195" s="139"/>
      <c r="AA195" s="129"/>
      <c r="AB195" s="146"/>
      <c r="AC195" s="147"/>
      <c r="AD195" s="149"/>
      <c r="AE195" s="149"/>
      <c r="AF195" s="149"/>
      <c r="AG195" s="150"/>
      <c r="AH195" s="150"/>
      <c r="AI195" s="151"/>
    </row>
    <row r="196" ht="15.75" customHeight="1">
      <c r="A196" s="129"/>
      <c r="B196" s="130"/>
      <c r="C196" s="129"/>
      <c r="D196" s="129"/>
      <c r="E196" s="138"/>
      <c r="F196" s="139"/>
      <c r="G196" s="140"/>
      <c r="H196" s="141"/>
      <c r="I196" s="142"/>
      <c r="J196" s="143"/>
      <c r="K196" s="141"/>
      <c r="L196" s="144"/>
      <c r="M196" s="129"/>
      <c r="N196" s="129"/>
      <c r="O196" s="145"/>
      <c r="P196" s="129"/>
      <c r="Q196" s="129"/>
      <c r="R196" s="129"/>
      <c r="S196" s="139"/>
      <c r="T196" s="139"/>
      <c r="U196" s="139"/>
      <c r="V196" s="139"/>
      <c r="W196" s="139"/>
      <c r="X196" s="139"/>
      <c r="Y196" s="139"/>
      <c r="Z196" s="139"/>
      <c r="AA196" s="129"/>
      <c r="AB196" s="146"/>
      <c r="AC196" s="147"/>
      <c r="AD196" s="149"/>
      <c r="AE196" s="149"/>
      <c r="AF196" s="149"/>
      <c r="AG196" s="150"/>
      <c r="AH196" s="150"/>
      <c r="AI196" s="151"/>
    </row>
    <row r="197" ht="15.75" customHeight="1">
      <c r="A197" s="129"/>
      <c r="B197" s="130"/>
      <c r="C197" s="129"/>
      <c r="D197" s="129"/>
      <c r="E197" s="138"/>
      <c r="F197" s="139"/>
      <c r="G197" s="140"/>
      <c r="H197" s="141"/>
      <c r="I197" s="142"/>
      <c r="J197" s="143"/>
      <c r="K197" s="141"/>
      <c r="L197" s="144"/>
      <c r="M197" s="129"/>
      <c r="N197" s="129"/>
      <c r="O197" s="145"/>
      <c r="P197" s="129"/>
      <c r="Q197" s="129"/>
      <c r="R197" s="129"/>
      <c r="S197" s="139"/>
      <c r="T197" s="139"/>
      <c r="U197" s="139"/>
      <c r="V197" s="139"/>
      <c r="W197" s="139"/>
      <c r="X197" s="139"/>
      <c r="Y197" s="139"/>
      <c r="Z197" s="139"/>
      <c r="AA197" s="129"/>
      <c r="AB197" s="146"/>
      <c r="AC197" s="147"/>
      <c r="AD197" s="149"/>
      <c r="AE197" s="149"/>
      <c r="AF197" s="149"/>
      <c r="AG197" s="150"/>
      <c r="AH197" s="150"/>
      <c r="AI197" s="151"/>
    </row>
    <row r="198" ht="15.75" customHeight="1">
      <c r="A198" s="129"/>
      <c r="B198" s="130"/>
      <c r="C198" s="129"/>
      <c r="D198" s="129"/>
      <c r="E198" s="138"/>
      <c r="F198" s="139"/>
      <c r="G198" s="140"/>
      <c r="H198" s="141"/>
      <c r="I198" s="142"/>
      <c r="J198" s="143"/>
      <c r="K198" s="141"/>
      <c r="L198" s="144"/>
      <c r="M198" s="129"/>
      <c r="N198" s="129"/>
      <c r="O198" s="145"/>
      <c r="P198" s="129"/>
      <c r="Q198" s="129"/>
      <c r="R198" s="129"/>
      <c r="S198" s="139"/>
      <c r="T198" s="139"/>
      <c r="U198" s="139"/>
      <c r="V198" s="139"/>
      <c r="W198" s="139"/>
      <c r="X198" s="139"/>
      <c r="Y198" s="139"/>
      <c r="Z198" s="139"/>
      <c r="AA198" s="129"/>
      <c r="AB198" s="146"/>
      <c r="AC198" s="147"/>
      <c r="AD198" s="149"/>
      <c r="AE198" s="149"/>
      <c r="AF198" s="149"/>
      <c r="AG198" s="150"/>
      <c r="AH198" s="150"/>
      <c r="AI198" s="151"/>
    </row>
    <row r="199" ht="15.75" customHeight="1">
      <c r="A199" s="129"/>
      <c r="B199" s="130"/>
      <c r="C199" s="129"/>
      <c r="D199" s="129"/>
      <c r="E199" s="138"/>
      <c r="F199" s="139"/>
      <c r="G199" s="140"/>
      <c r="H199" s="141"/>
      <c r="I199" s="142"/>
      <c r="J199" s="143"/>
      <c r="K199" s="141"/>
      <c r="L199" s="144"/>
      <c r="M199" s="129"/>
      <c r="N199" s="129"/>
      <c r="O199" s="145"/>
      <c r="P199" s="129"/>
      <c r="Q199" s="129"/>
      <c r="R199" s="129"/>
      <c r="S199" s="139"/>
      <c r="T199" s="139"/>
      <c r="U199" s="139"/>
      <c r="V199" s="139"/>
      <c r="W199" s="139"/>
      <c r="X199" s="139"/>
      <c r="Y199" s="139"/>
      <c r="Z199" s="139"/>
      <c r="AA199" s="129"/>
      <c r="AB199" s="146"/>
      <c r="AC199" s="147"/>
      <c r="AD199" s="149"/>
      <c r="AE199" s="149"/>
      <c r="AF199" s="149"/>
      <c r="AG199" s="150"/>
      <c r="AH199" s="150"/>
      <c r="AI199" s="151"/>
    </row>
    <row r="200" ht="15.75" customHeight="1">
      <c r="A200" s="129"/>
      <c r="B200" s="130"/>
      <c r="C200" s="129"/>
      <c r="D200" s="129"/>
      <c r="E200" s="138"/>
      <c r="F200" s="139"/>
      <c r="G200" s="140"/>
      <c r="H200" s="141"/>
      <c r="I200" s="142"/>
      <c r="J200" s="143"/>
      <c r="K200" s="141"/>
      <c r="L200" s="144"/>
      <c r="M200" s="129"/>
      <c r="N200" s="129"/>
      <c r="O200" s="145"/>
      <c r="P200" s="129"/>
      <c r="Q200" s="129"/>
      <c r="R200" s="129"/>
      <c r="S200" s="139"/>
      <c r="T200" s="139"/>
      <c r="U200" s="139"/>
      <c r="V200" s="139"/>
      <c r="W200" s="139"/>
      <c r="X200" s="139"/>
      <c r="Y200" s="139"/>
      <c r="Z200" s="139"/>
      <c r="AA200" s="129"/>
      <c r="AB200" s="146"/>
      <c r="AC200" s="147"/>
      <c r="AD200" s="149"/>
      <c r="AE200" s="149"/>
      <c r="AF200" s="149"/>
      <c r="AG200" s="150"/>
      <c r="AH200" s="150"/>
      <c r="AI200" s="151"/>
    </row>
    <row r="201" ht="15.75" customHeight="1">
      <c r="A201" s="129"/>
      <c r="B201" s="130"/>
      <c r="C201" s="129"/>
      <c r="D201" s="129"/>
      <c r="E201" s="138"/>
      <c r="F201" s="139"/>
      <c r="G201" s="140"/>
      <c r="H201" s="141"/>
      <c r="I201" s="142"/>
      <c r="J201" s="143"/>
      <c r="K201" s="141"/>
      <c r="L201" s="144"/>
      <c r="M201" s="129"/>
      <c r="N201" s="129"/>
      <c r="O201" s="145"/>
      <c r="P201" s="129"/>
      <c r="Q201" s="129"/>
      <c r="R201" s="129"/>
      <c r="S201" s="139"/>
      <c r="T201" s="139"/>
      <c r="U201" s="139"/>
      <c r="V201" s="139"/>
      <c r="W201" s="139"/>
      <c r="X201" s="139"/>
      <c r="Y201" s="139"/>
      <c r="Z201" s="139"/>
      <c r="AA201" s="129"/>
      <c r="AB201" s="146"/>
      <c r="AC201" s="147"/>
      <c r="AD201" s="149"/>
      <c r="AE201" s="149"/>
      <c r="AF201" s="149"/>
      <c r="AG201" s="150"/>
      <c r="AH201" s="150"/>
      <c r="AI201" s="151"/>
    </row>
    <row r="202" ht="15.75" customHeight="1">
      <c r="A202" s="129"/>
      <c r="B202" s="130"/>
      <c r="C202" s="129"/>
      <c r="D202" s="129"/>
      <c r="E202" s="138"/>
      <c r="F202" s="139"/>
      <c r="G202" s="140"/>
      <c r="H202" s="141"/>
      <c r="I202" s="142"/>
      <c r="J202" s="143"/>
      <c r="K202" s="141"/>
      <c r="L202" s="144"/>
      <c r="M202" s="129"/>
      <c r="N202" s="129"/>
      <c r="O202" s="145"/>
      <c r="P202" s="129"/>
      <c r="Q202" s="129"/>
      <c r="R202" s="129"/>
      <c r="S202" s="139"/>
      <c r="T202" s="139"/>
      <c r="U202" s="139"/>
      <c r="V202" s="139"/>
      <c r="W202" s="139"/>
      <c r="X202" s="139"/>
      <c r="Y202" s="139"/>
      <c r="Z202" s="139"/>
      <c r="AA202" s="129"/>
      <c r="AB202" s="146"/>
      <c r="AC202" s="147"/>
      <c r="AD202" s="149"/>
      <c r="AE202" s="149"/>
      <c r="AF202" s="149"/>
      <c r="AG202" s="150"/>
      <c r="AH202" s="150"/>
      <c r="AI202" s="151"/>
    </row>
    <row r="203" ht="15.75" customHeight="1">
      <c r="A203" s="129"/>
      <c r="B203" s="130"/>
      <c r="C203" s="129"/>
      <c r="D203" s="129"/>
      <c r="E203" s="138"/>
      <c r="F203" s="139"/>
      <c r="G203" s="140"/>
      <c r="H203" s="141"/>
      <c r="I203" s="142"/>
      <c r="J203" s="143"/>
      <c r="K203" s="141"/>
      <c r="L203" s="144"/>
      <c r="M203" s="129"/>
      <c r="N203" s="129"/>
      <c r="O203" s="145"/>
      <c r="P203" s="129"/>
      <c r="Q203" s="129"/>
      <c r="R203" s="129"/>
      <c r="S203" s="139"/>
      <c r="T203" s="139"/>
      <c r="U203" s="139"/>
      <c r="V203" s="139"/>
      <c r="W203" s="139"/>
      <c r="X203" s="139"/>
      <c r="Y203" s="139"/>
      <c r="Z203" s="139"/>
      <c r="AA203" s="129"/>
      <c r="AB203" s="146"/>
      <c r="AC203" s="147"/>
      <c r="AD203" s="149"/>
      <c r="AE203" s="149"/>
      <c r="AF203" s="149"/>
      <c r="AG203" s="150"/>
      <c r="AH203" s="150"/>
      <c r="AI203" s="151"/>
    </row>
    <row r="204" ht="15.75" customHeight="1">
      <c r="A204" s="129"/>
      <c r="B204" s="130"/>
      <c r="C204" s="129"/>
      <c r="D204" s="129"/>
      <c r="E204" s="138"/>
      <c r="F204" s="139"/>
      <c r="G204" s="140"/>
      <c r="H204" s="141"/>
      <c r="I204" s="142"/>
      <c r="J204" s="143"/>
      <c r="K204" s="141"/>
      <c r="L204" s="144"/>
      <c r="M204" s="129"/>
      <c r="N204" s="129"/>
      <c r="O204" s="145"/>
      <c r="P204" s="129"/>
      <c r="Q204" s="129"/>
      <c r="R204" s="129"/>
      <c r="S204" s="139"/>
      <c r="T204" s="139"/>
      <c r="U204" s="139"/>
      <c r="V204" s="139"/>
      <c r="W204" s="139"/>
      <c r="X204" s="139"/>
      <c r="Y204" s="139"/>
      <c r="Z204" s="139"/>
      <c r="AA204" s="129"/>
      <c r="AB204" s="146"/>
      <c r="AC204" s="147"/>
      <c r="AD204" s="149"/>
      <c r="AE204" s="149"/>
      <c r="AF204" s="149"/>
      <c r="AG204" s="150"/>
      <c r="AH204" s="150"/>
      <c r="AI204" s="151"/>
    </row>
    <row r="205" ht="15.75" customHeight="1">
      <c r="A205" s="129"/>
      <c r="B205" s="130"/>
      <c r="C205" s="129"/>
      <c r="D205" s="129"/>
      <c r="E205" s="138"/>
      <c r="F205" s="139"/>
      <c r="G205" s="140"/>
      <c r="H205" s="141"/>
      <c r="I205" s="142"/>
      <c r="J205" s="143"/>
      <c r="K205" s="141"/>
      <c r="L205" s="144"/>
      <c r="M205" s="129"/>
      <c r="N205" s="129"/>
      <c r="O205" s="145"/>
      <c r="P205" s="129"/>
      <c r="Q205" s="129"/>
      <c r="R205" s="129"/>
      <c r="S205" s="139"/>
      <c r="T205" s="139"/>
      <c r="U205" s="139"/>
      <c r="V205" s="139"/>
      <c r="W205" s="139"/>
      <c r="X205" s="139"/>
      <c r="Y205" s="139"/>
      <c r="Z205" s="139"/>
      <c r="AA205" s="129"/>
      <c r="AB205" s="146"/>
      <c r="AC205" s="147"/>
      <c r="AD205" s="149"/>
      <c r="AE205" s="149"/>
      <c r="AF205" s="149"/>
      <c r="AG205" s="150"/>
      <c r="AH205" s="150"/>
      <c r="AI205" s="151"/>
    </row>
    <row r="206" ht="15.75" customHeight="1">
      <c r="A206" s="129"/>
      <c r="B206" s="130"/>
      <c r="C206" s="129"/>
      <c r="D206" s="129"/>
      <c r="E206" s="138"/>
      <c r="F206" s="139"/>
      <c r="G206" s="140"/>
      <c r="H206" s="141"/>
      <c r="I206" s="142"/>
      <c r="J206" s="143"/>
      <c r="K206" s="141"/>
      <c r="L206" s="144"/>
      <c r="M206" s="129"/>
      <c r="N206" s="129"/>
      <c r="O206" s="145"/>
      <c r="P206" s="129"/>
      <c r="Q206" s="129"/>
      <c r="R206" s="129"/>
      <c r="S206" s="139"/>
      <c r="T206" s="139"/>
      <c r="U206" s="139"/>
      <c r="V206" s="139"/>
      <c r="W206" s="139"/>
      <c r="X206" s="139"/>
      <c r="Y206" s="139"/>
      <c r="Z206" s="139"/>
      <c r="AA206" s="129"/>
      <c r="AB206" s="146"/>
      <c r="AC206" s="147"/>
      <c r="AD206" s="149"/>
      <c r="AE206" s="149"/>
      <c r="AF206" s="149"/>
      <c r="AG206" s="150"/>
      <c r="AH206" s="150"/>
      <c r="AI206" s="151"/>
    </row>
    <row r="207" ht="15.75" customHeight="1">
      <c r="A207" s="129"/>
      <c r="B207" s="130"/>
      <c r="C207" s="129"/>
      <c r="D207" s="129"/>
      <c r="E207" s="138"/>
      <c r="F207" s="139"/>
      <c r="G207" s="140"/>
      <c r="H207" s="141"/>
      <c r="I207" s="142"/>
      <c r="J207" s="143"/>
      <c r="K207" s="141"/>
      <c r="L207" s="144"/>
      <c r="M207" s="129"/>
      <c r="N207" s="129"/>
      <c r="O207" s="145"/>
      <c r="P207" s="129"/>
      <c r="Q207" s="129"/>
      <c r="R207" s="129"/>
      <c r="S207" s="139"/>
      <c r="T207" s="139"/>
      <c r="U207" s="139"/>
      <c r="V207" s="139"/>
      <c r="W207" s="139"/>
      <c r="X207" s="139"/>
      <c r="Y207" s="139"/>
      <c r="Z207" s="139"/>
      <c r="AA207" s="129"/>
      <c r="AB207" s="146"/>
      <c r="AC207" s="147"/>
      <c r="AD207" s="149"/>
      <c r="AE207" s="149"/>
      <c r="AF207" s="149"/>
      <c r="AG207" s="150"/>
      <c r="AH207" s="150"/>
      <c r="AI207" s="151"/>
    </row>
    <row r="208" ht="15.75" customHeight="1">
      <c r="A208" s="129"/>
      <c r="B208" s="130"/>
      <c r="C208" s="129"/>
      <c r="D208" s="129"/>
      <c r="E208" s="138"/>
      <c r="F208" s="139"/>
      <c r="G208" s="140"/>
      <c r="H208" s="141"/>
      <c r="I208" s="142"/>
      <c r="J208" s="143"/>
      <c r="K208" s="141"/>
      <c r="L208" s="144"/>
      <c r="M208" s="129"/>
      <c r="N208" s="129"/>
      <c r="O208" s="145"/>
      <c r="P208" s="129"/>
      <c r="Q208" s="129"/>
      <c r="R208" s="129"/>
      <c r="S208" s="139"/>
      <c r="T208" s="139"/>
      <c r="U208" s="139"/>
      <c r="V208" s="139"/>
      <c r="W208" s="139"/>
      <c r="X208" s="139"/>
      <c r="Y208" s="139"/>
      <c r="Z208" s="139"/>
      <c r="AA208" s="129"/>
      <c r="AB208" s="146"/>
      <c r="AC208" s="147"/>
      <c r="AD208" s="149"/>
      <c r="AE208" s="149"/>
      <c r="AF208" s="149"/>
      <c r="AG208" s="150"/>
      <c r="AH208" s="150"/>
      <c r="AI208" s="151"/>
    </row>
    <row r="209" ht="15.75" customHeight="1">
      <c r="A209" s="129"/>
      <c r="B209" s="130"/>
      <c r="C209" s="129"/>
      <c r="D209" s="129"/>
      <c r="E209" s="138"/>
      <c r="F209" s="139"/>
      <c r="G209" s="140"/>
      <c r="H209" s="141"/>
      <c r="I209" s="142"/>
      <c r="J209" s="143"/>
      <c r="K209" s="141"/>
      <c r="L209" s="144"/>
      <c r="M209" s="129"/>
      <c r="N209" s="129"/>
      <c r="O209" s="145"/>
      <c r="P209" s="129"/>
      <c r="Q209" s="129"/>
      <c r="R209" s="129"/>
      <c r="S209" s="139"/>
      <c r="T209" s="139"/>
      <c r="U209" s="139"/>
      <c r="V209" s="139"/>
      <c r="W209" s="139"/>
      <c r="X209" s="139"/>
      <c r="Y209" s="139"/>
      <c r="Z209" s="139"/>
      <c r="AA209" s="129"/>
      <c r="AB209" s="146"/>
      <c r="AC209" s="147"/>
      <c r="AD209" s="149"/>
      <c r="AE209" s="149"/>
      <c r="AF209" s="149"/>
      <c r="AG209" s="150"/>
      <c r="AH209" s="150"/>
      <c r="AI209" s="151"/>
    </row>
    <row r="210" ht="15.75" customHeight="1">
      <c r="A210" s="129"/>
      <c r="B210" s="130"/>
      <c r="C210" s="129"/>
      <c r="D210" s="129"/>
      <c r="E210" s="138"/>
      <c r="F210" s="139"/>
      <c r="G210" s="140"/>
      <c r="H210" s="141"/>
      <c r="I210" s="142"/>
      <c r="J210" s="143"/>
      <c r="K210" s="141"/>
      <c r="L210" s="144"/>
      <c r="M210" s="129"/>
      <c r="N210" s="129"/>
      <c r="O210" s="145"/>
      <c r="P210" s="129"/>
      <c r="Q210" s="129"/>
      <c r="R210" s="129"/>
      <c r="S210" s="139"/>
      <c r="T210" s="139"/>
      <c r="U210" s="139"/>
      <c r="V210" s="139"/>
      <c r="W210" s="139"/>
      <c r="X210" s="139"/>
      <c r="Y210" s="139"/>
      <c r="Z210" s="139"/>
      <c r="AA210" s="129"/>
      <c r="AB210" s="146"/>
      <c r="AC210" s="147"/>
      <c r="AD210" s="149"/>
      <c r="AE210" s="149"/>
      <c r="AF210" s="149"/>
      <c r="AG210" s="150"/>
      <c r="AH210" s="150"/>
      <c r="AI210" s="151"/>
    </row>
    <row r="211" ht="15.75" customHeight="1">
      <c r="A211" s="129"/>
      <c r="B211" s="130"/>
      <c r="C211" s="129"/>
      <c r="D211" s="129"/>
      <c r="E211" s="138"/>
      <c r="F211" s="139"/>
      <c r="G211" s="140"/>
      <c r="H211" s="141"/>
      <c r="I211" s="142"/>
      <c r="J211" s="143"/>
      <c r="K211" s="141"/>
      <c r="L211" s="144"/>
      <c r="M211" s="129"/>
      <c r="N211" s="129"/>
      <c r="O211" s="145"/>
      <c r="P211" s="129"/>
      <c r="Q211" s="129"/>
      <c r="R211" s="129"/>
      <c r="S211" s="139"/>
      <c r="T211" s="139"/>
      <c r="U211" s="139"/>
      <c r="V211" s="139"/>
      <c r="W211" s="139"/>
      <c r="X211" s="139"/>
      <c r="Y211" s="139"/>
      <c r="Z211" s="139"/>
      <c r="AA211" s="129"/>
      <c r="AB211" s="146"/>
      <c r="AC211" s="147"/>
      <c r="AD211" s="149"/>
      <c r="AE211" s="149"/>
      <c r="AF211" s="149"/>
      <c r="AG211" s="150"/>
      <c r="AH211" s="150"/>
      <c r="AI211" s="151"/>
    </row>
    <row r="212" ht="15.75" customHeight="1">
      <c r="A212" s="129"/>
      <c r="B212" s="130"/>
      <c r="C212" s="129"/>
      <c r="D212" s="129"/>
      <c r="E212" s="138"/>
      <c r="F212" s="139"/>
      <c r="G212" s="140"/>
      <c r="H212" s="141"/>
      <c r="I212" s="142"/>
      <c r="J212" s="143"/>
      <c r="K212" s="141"/>
      <c r="L212" s="144"/>
      <c r="M212" s="129"/>
      <c r="N212" s="129"/>
      <c r="O212" s="145"/>
      <c r="P212" s="129"/>
      <c r="Q212" s="129"/>
      <c r="R212" s="129"/>
      <c r="S212" s="139"/>
      <c r="T212" s="139"/>
      <c r="U212" s="139"/>
      <c r="V212" s="139"/>
      <c r="W212" s="139"/>
      <c r="X212" s="139"/>
      <c r="Y212" s="139"/>
      <c r="Z212" s="139"/>
      <c r="AA212" s="129"/>
      <c r="AB212" s="146"/>
      <c r="AC212" s="147"/>
      <c r="AD212" s="149"/>
      <c r="AE212" s="149"/>
      <c r="AF212" s="149"/>
      <c r="AG212" s="150"/>
      <c r="AH212" s="150"/>
      <c r="AI212" s="151"/>
    </row>
    <row r="213" ht="15.75" customHeight="1">
      <c r="A213" s="129"/>
      <c r="B213" s="130"/>
      <c r="C213" s="129"/>
      <c r="D213" s="129"/>
      <c r="E213" s="138"/>
      <c r="F213" s="139"/>
      <c r="G213" s="140"/>
      <c r="H213" s="141"/>
      <c r="I213" s="142"/>
      <c r="J213" s="143"/>
      <c r="K213" s="141"/>
      <c r="L213" s="144"/>
      <c r="M213" s="129"/>
      <c r="N213" s="129"/>
      <c r="O213" s="145"/>
      <c r="P213" s="129"/>
      <c r="Q213" s="129"/>
      <c r="R213" s="129"/>
      <c r="S213" s="139"/>
      <c r="T213" s="139"/>
      <c r="U213" s="139"/>
      <c r="V213" s="139"/>
      <c r="W213" s="139"/>
      <c r="X213" s="139"/>
      <c r="Y213" s="139"/>
      <c r="Z213" s="139"/>
      <c r="AA213" s="129"/>
      <c r="AB213" s="146"/>
      <c r="AC213" s="147"/>
      <c r="AD213" s="149"/>
      <c r="AE213" s="149"/>
      <c r="AF213" s="149"/>
      <c r="AG213" s="150"/>
      <c r="AH213" s="150"/>
      <c r="AI213" s="151"/>
    </row>
    <row r="214" ht="15.75" customHeight="1">
      <c r="A214" s="129"/>
      <c r="B214" s="130"/>
      <c r="C214" s="129"/>
      <c r="D214" s="129"/>
      <c r="E214" s="138"/>
      <c r="F214" s="139"/>
      <c r="G214" s="140"/>
      <c r="H214" s="141"/>
      <c r="I214" s="142"/>
      <c r="J214" s="143"/>
      <c r="K214" s="141"/>
      <c r="L214" s="144"/>
      <c r="M214" s="129"/>
      <c r="N214" s="129"/>
      <c r="O214" s="145"/>
      <c r="P214" s="129"/>
      <c r="Q214" s="129"/>
      <c r="R214" s="129"/>
      <c r="S214" s="139"/>
      <c r="T214" s="139"/>
      <c r="U214" s="139"/>
      <c r="V214" s="139"/>
      <c r="W214" s="139"/>
      <c r="X214" s="139"/>
      <c r="Y214" s="139"/>
      <c r="Z214" s="139"/>
      <c r="AA214" s="129"/>
      <c r="AB214" s="146"/>
      <c r="AC214" s="147"/>
      <c r="AD214" s="149"/>
      <c r="AE214" s="149"/>
      <c r="AF214" s="149"/>
      <c r="AG214" s="150"/>
      <c r="AH214" s="150"/>
      <c r="AI214" s="151"/>
    </row>
    <row r="215" ht="15.75" customHeight="1">
      <c r="A215" s="129"/>
      <c r="B215" s="130"/>
      <c r="C215" s="129"/>
      <c r="D215" s="129"/>
      <c r="E215" s="138"/>
      <c r="F215" s="139"/>
      <c r="G215" s="140"/>
      <c r="H215" s="141"/>
      <c r="I215" s="142"/>
      <c r="J215" s="143"/>
      <c r="K215" s="141"/>
      <c r="L215" s="144"/>
      <c r="M215" s="129"/>
      <c r="N215" s="129"/>
      <c r="O215" s="145"/>
      <c r="P215" s="129"/>
      <c r="Q215" s="129"/>
      <c r="R215" s="129"/>
      <c r="S215" s="139"/>
      <c r="T215" s="139"/>
      <c r="U215" s="139"/>
      <c r="V215" s="139"/>
      <c r="W215" s="139"/>
      <c r="X215" s="139"/>
      <c r="Y215" s="139"/>
      <c r="Z215" s="139"/>
      <c r="AA215" s="129"/>
      <c r="AB215" s="146"/>
      <c r="AC215" s="147"/>
      <c r="AD215" s="149"/>
      <c r="AE215" s="149"/>
      <c r="AF215" s="149"/>
      <c r="AG215" s="150"/>
      <c r="AH215" s="150"/>
      <c r="AI215" s="151"/>
    </row>
    <row r="216" ht="15.75" customHeight="1">
      <c r="A216" s="129"/>
      <c r="B216" s="130"/>
      <c r="C216" s="129"/>
      <c r="D216" s="129"/>
      <c r="E216" s="138"/>
      <c r="F216" s="139"/>
      <c r="G216" s="140"/>
      <c r="H216" s="141"/>
      <c r="I216" s="142"/>
      <c r="J216" s="143"/>
      <c r="K216" s="141"/>
      <c r="L216" s="144"/>
      <c r="M216" s="129"/>
      <c r="N216" s="129"/>
      <c r="O216" s="145"/>
      <c r="P216" s="129"/>
      <c r="Q216" s="129"/>
      <c r="R216" s="129"/>
      <c r="S216" s="139"/>
      <c r="T216" s="139"/>
      <c r="U216" s="139"/>
      <c r="V216" s="139"/>
      <c r="W216" s="139"/>
      <c r="X216" s="139"/>
      <c r="Y216" s="139"/>
      <c r="Z216" s="139"/>
      <c r="AA216" s="129"/>
      <c r="AB216" s="146"/>
      <c r="AC216" s="147"/>
      <c r="AD216" s="149"/>
      <c r="AE216" s="149"/>
      <c r="AF216" s="149"/>
      <c r="AG216" s="150"/>
      <c r="AH216" s="150"/>
      <c r="AI216" s="151"/>
    </row>
    <row r="217" ht="15.75" customHeight="1">
      <c r="A217" s="129"/>
      <c r="B217" s="130"/>
      <c r="C217" s="129"/>
      <c r="D217" s="129"/>
      <c r="E217" s="138"/>
      <c r="F217" s="139"/>
      <c r="G217" s="140"/>
      <c r="H217" s="141"/>
      <c r="I217" s="142"/>
      <c r="J217" s="143"/>
      <c r="K217" s="141"/>
      <c r="L217" s="144"/>
      <c r="M217" s="129"/>
      <c r="N217" s="129"/>
      <c r="O217" s="145"/>
      <c r="P217" s="129"/>
      <c r="Q217" s="129"/>
      <c r="R217" s="129"/>
      <c r="S217" s="139"/>
      <c r="T217" s="139"/>
      <c r="U217" s="139"/>
      <c r="V217" s="139"/>
      <c r="W217" s="139"/>
      <c r="X217" s="139"/>
      <c r="Y217" s="139"/>
      <c r="Z217" s="139"/>
      <c r="AA217" s="129"/>
      <c r="AB217" s="146"/>
      <c r="AC217" s="147"/>
      <c r="AD217" s="149"/>
      <c r="AE217" s="149"/>
      <c r="AF217" s="149"/>
      <c r="AG217" s="150"/>
      <c r="AH217" s="150"/>
      <c r="AI217" s="151"/>
    </row>
    <row r="218" ht="15.75" customHeight="1">
      <c r="A218" s="129"/>
      <c r="B218" s="130"/>
      <c r="C218" s="129"/>
      <c r="D218" s="129"/>
      <c r="E218" s="138"/>
      <c r="F218" s="139"/>
      <c r="G218" s="140"/>
      <c r="H218" s="141"/>
      <c r="I218" s="142"/>
      <c r="J218" s="143"/>
      <c r="K218" s="141"/>
      <c r="L218" s="144"/>
      <c r="M218" s="129"/>
      <c r="N218" s="129"/>
      <c r="O218" s="145"/>
      <c r="P218" s="129"/>
      <c r="Q218" s="129"/>
      <c r="R218" s="129"/>
      <c r="S218" s="139"/>
      <c r="T218" s="139"/>
      <c r="U218" s="139"/>
      <c r="V218" s="139"/>
      <c r="W218" s="139"/>
      <c r="X218" s="139"/>
      <c r="Y218" s="139"/>
      <c r="Z218" s="139"/>
      <c r="AA218" s="129"/>
      <c r="AB218" s="146"/>
      <c r="AC218" s="147"/>
      <c r="AD218" s="149"/>
      <c r="AE218" s="149"/>
      <c r="AF218" s="149"/>
      <c r="AG218" s="150"/>
      <c r="AH218" s="150"/>
      <c r="AI218" s="151"/>
    </row>
    <row r="219" ht="15.75" customHeight="1">
      <c r="A219" s="129"/>
      <c r="B219" s="130"/>
      <c r="C219" s="129"/>
      <c r="D219" s="129"/>
      <c r="E219" s="138"/>
      <c r="F219" s="139"/>
      <c r="G219" s="140"/>
      <c r="H219" s="141"/>
      <c r="I219" s="142"/>
      <c r="J219" s="143"/>
      <c r="K219" s="141"/>
      <c r="L219" s="144"/>
      <c r="M219" s="129"/>
      <c r="N219" s="129"/>
      <c r="O219" s="145"/>
      <c r="P219" s="129"/>
      <c r="Q219" s="129"/>
      <c r="R219" s="129"/>
      <c r="S219" s="139"/>
      <c r="T219" s="139"/>
      <c r="U219" s="139"/>
      <c r="V219" s="139"/>
      <c r="W219" s="139"/>
      <c r="X219" s="139"/>
      <c r="Y219" s="139"/>
      <c r="Z219" s="139"/>
      <c r="AA219" s="129"/>
      <c r="AB219" s="146"/>
      <c r="AC219" s="147"/>
      <c r="AD219" s="149"/>
      <c r="AE219" s="149"/>
      <c r="AF219" s="149"/>
      <c r="AG219" s="150"/>
      <c r="AH219" s="150"/>
      <c r="AI219" s="151"/>
    </row>
    <row r="220" ht="15.75" customHeight="1">
      <c r="A220" s="129"/>
      <c r="B220" s="130"/>
      <c r="C220" s="129"/>
      <c r="D220" s="129"/>
      <c r="E220" s="138"/>
      <c r="F220" s="139"/>
      <c r="G220" s="140"/>
      <c r="H220" s="141"/>
      <c r="I220" s="142"/>
      <c r="J220" s="143"/>
      <c r="K220" s="141"/>
      <c r="L220" s="144"/>
      <c r="M220" s="129"/>
      <c r="N220" s="129"/>
      <c r="O220" s="145"/>
      <c r="P220" s="129"/>
      <c r="Q220" s="129"/>
      <c r="R220" s="129"/>
      <c r="S220" s="139"/>
      <c r="T220" s="139"/>
      <c r="U220" s="139"/>
      <c r="V220" s="139"/>
      <c r="W220" s="139"/>
      <c r="X220" s="139"/>
      <c r="Y220" s="139"/>
      <c r="Z220" s="139"/>
      <c r="AA220" s="129"/>
      <c r="AB220" s="146"/>
      <c r="AC220" s="147"/>
      <c r="AD220" s="149"/>
      <c r="AE220" s="149"/>
      <c r="AF220" s="149"/>
      <c r="AG220" s="150"/>
      <c r="AH220" s="150"/>
      <c r="AI220" s="151"/>
    </row>
    <row r="221" ht="15.75" customHeight="1">
      <c r="A221" s="129"/>
      <c r="B221" s="130"/>
      <c r="C221" s="129"/>
      <c r="D221" s="129"/>
      <c r="E221" s="138"/>
      <c r="F221" s="139"/>
      <c r="G221" s="140"/>
      <c r="H221" s="141"/>
      <c r="I221" s="142"/>
      <c r="J221" s="143"/>
      <c r="K221" s="141"/>
      <c r="L221" s="144"/>
      <c r="M221" s="129"/>
      <c r="N221" s="129"/>
      <c r="O221" s="145"/>
      <c r="P221" s="129"/>
      <c r="Q221" s="129"/>
      <c r="R221" s="129"/>
      <c r="S221" s="139"/>
      <c r="T221" s="139"/>
      <c r="U221" s="139"/>
      <c r="V221" s="139"/>
      <c r="W221" s="139"/>
      <c r="X221" s="139"/>
      <c r="Y221" s="139"/>
      <c r="Z221" s="139"/>
      <c r="AA221" s="129"/>
      <c r="AB221" s="146"/>
      <c r="AC221" s="147"/>
      <c r="AD221" s="149"/>
      <c r="AE221" s="149"/>
      <c r="AF221" s="149"/>
      <c r="AG221" s="150"/>
      <c r="AH221" s="150"/>
      <c r="AI221" s="151"/>
    </row>
    <row r="222" ht="15.75" customHeight="1">
      <c r="A222" s="129"/>
      <c r="B222" s="130"/>
      <c r="C222" s="129"/>
      <c r="D222" s="129"/>
      <c r="E222" s="138"/>
      <c r="F222" s="139"/>
      <c r="G222" s="140"/>
      <c r="H222" s="141"/>
      <c r="I222" s="142"/>
      <c r="J222" s="143"/>
      <c r="K222" s="141"/>
      <c r="L222" s="144"/>
      <c r="M222" s="129"/>
      <c r="N222" s="129"/>
      <c r="O222" s="145"/>
      <c r="P222" s="129"/>
      <c r="Q222" s="129"/>
      <c r="R222" s="129"/>
      <c r="S222" s="139"/>
      <c r="T222" s="139"/>
      <c r="U222" s="139"/>
      <c r="V222" s="139"/>
      <c r="W222" s="139"/>
      <c r="X222" s="139"/>
      <c r="Y222" s="139"/>
      <c r="Z222" s="139"/>
      <c r="AA222" s="129"/>
      <c r="AB222" s="146"/>
      <c r="AC222" s="147"/>
      <c r="AD222" s="149"/>
      <c r="AE222" s="149"/>
      <c r="AF222" s="149"/>
      <c r="AG222" s="150"/>
      <c r="AH222" s="150"/>
      <c r="AI222" s="151"/>
    </row>
    <row r="223" ht="15.75" customHeight="1">
      <c r="A223" s="129"/>
      <c r="B223" s="130"/>
      <c r="C223" s="129"/>
      <c r="D223" s="129"/>
      <c r="E223" s="138"/>
      <c r="F223" s="139"/>
      <c r="G223" s="140"/>
      <c r="H223" s="141"/>
      <c r="I223" s="142"/>
      <c r="J223" s="143"/>
      <c r="K223" s="141"/>
      <c r="L223" s="144"/>
      <c r="M223" s="129"/>
      <c r="N223" s="129"/>
      <c r="O223" s="145"/>
      <c r="P223" s="129"/>
      <c r="Q223" s="129"/>
      <c r="R223" s="129"/>
      <c r="S223" s="139"/>
      <c r="T223" s="139"/>
      <c r="U223" s="139"/>
      <c r="V223" s="139"/>
      <c r="W223" s="139"/>
      <c r="X223" s="139"/>
      <c r="Y223" s="139"/>
      <c r="Z223" s="139"/>
      <c r="AA223" s="129"/>
      <c r="AB223" s="146"/>
      <c r="AC223" s="147"/>
      <c r="AD223" s="149"/>
      <c r="AE223" s="149"/>
      <c r="AF223" s="149"/>
      <c r="AG223" s="150"/>
      <c r="AH223" s="150"/>
      <c r="AI223" s="151"/>
    </row>
    <row r="224" ht="15.75" customHeight="1">
      <c r="A224" s="129"/>
      <c r="B224" s="130"/>
      <c r="C224" s="129"/>
      <c r="D224" s="129"/>
      <c r="E224" s="138"/>
      <c r="F224" s="139"/>
      <c r="G224" s="140"/>
      <c r="H224" s="141"/>
      <c r="I224" s="142"/>
      <c r="J224" s="143"/>
      <c r="K224" s="141"/>
      <c r="L224" s="144"/>
      <c r="M224" s="129"/>
      <c r="N224" s="129"/>
      <c r="O224" s="145"/>
      <c r="P224" s="129"/>
      <c r="Q224" s="129"/>
      <c r="R224" s="129"/>
      <c r="S224" s="139"/>
      <c r="T224" s="139"/>
      <c r="U224" s="139"/>
      <c r="V224" s="139"/>
      <c r="W224" s="139"/>
      <c r="X224" s="139"/>
      <c r="Y224" s="139"/>
      <c r="Z224" s="139"/>
      <c r="AA224" s="129"/>
      <c r="AB224" s="146"/>
      <c r="AC224" s="147"/>
      <c r="AD224" s="149"/>
      <c r="AE224" s="149"/>
      <c r="AF224" s="149"/>
      <c r="AG224" s="150"/>
      <c r="AH224" s="150"/>
      <c r="AI224" s="151"/>
    </row>
    <row r="225" ht="15.75" customHeight="1">
      <c r="A225" s="129"/>
      <c r="B225" s="130"/>
      <c r="C225" s="129"/>
      <c r="D225" s="129"/>
      <c r="E225" s="138"/>
      <c r="F225" s="139"/>
      <c r="G225" s="140"/>
      <c r="H225" s="141"/>
      <c r="I225" s="142"/>
      <c r="J225" s="143"/>
      <c r="K225" s="141"/>
      <c r="L225" s="144"/>
      <c r="M225" s="129"/>
      <c r="N225" s="129"/>
      <c r="O225" s="145"/>
      <c r="P225" s="129"/>
      <c r="Q225" s="129"/>
      <c r="R225" s="129"/>
      <c r="S225" s="139"/>
      <c r="T225" s="139"/>
      <c r="U225" s="139"/>
      <c r="V225" s="139"/>
      <c r="W225" s="139"/>
      <c r="X225" s="139"/>
      <c r="Y225" s="139"/>
      <c r="Z225" s="139"/>
      <c r="AA225" s="129"/>
      <c r="AB225" s="146"/>
      <c r="AC225" s="147"/>
      <c r="AD225" s="149"/>
      <c r="AE225" s="149"/>
      <c r="AF225" s="149"/>
      <c r="AG225" s="150"/>
      <c r="AH225" s="150"/>
      <c r="AI225" s="151"/>
    </row>
    <row r="226" ht="15.75" customHeight="1">
      <c r="A226" s="129"/>
      <c r="B226" s="130"/>
      <c r="C226" s="129"/>
      <c r="D226" s="129"/>
      <c r="E226" s="138"/>
      <c r="F226" s="139"/>
      <c r="G226" s="140"/>
      <c r="H226" s="141"/>
      <c r="I226" s="142"/>
      <c r="J226" s="143"/>
      <c r="K226" s="141"/>
      <c r="L226" s="144"/>
      <c r="M226" s="129"/>
      <c r="N226" s="129"/>
      <c r="O226" s="145"/>
      <c r="P226" s="129"/>
      <c r="Q226" s="129"/>
      <c r="R226" s="129"/>
      <c r="S226" s="139"/>
      <c r="T226" s="139"/>
      <c r="U226" s="139"/>
      <c r="V226" s="139"/>
      <c r="W226" s="139"/>
      <c r="X226" s="139"/>
      <c r="Y226" s="139"/>
      <c r="Z226" s="139"/>
      <c r="AA226" s="129"/>
      <c r="AB226" s="146"/>
      <c r="AC226" s="147"/>
      <c r="AD226" s="149"/>
      <c r="AE226" s="149"/>
      <c r="AF226" s="149"/>
      <c r="AG226" s="150"/>
      <c r="AH226" s="150"/>
      <c r="AI226" s="151"/>
    </row>
    <row r="227" ht="15.75" customHeight="1">
      <c r="A227" s="129"/>
      <c r="B227" s="130"/>
      <c r="C227" s="129"/>
      <c r="D227" s="129"/>
      <c r="E227" s="138"/>
      <c r="F227" s="139"/>
      <c r="G227" s="140"/>
      <c r="H227" s="141"/>
      <c r="I227" s="142"/>
      <c r="J227" s="143"/>
      <c r="K227" s="141"/>
      <c r="L227" s="144"/>
      <c r="M227" s="129"/>
      <c r="N227" s="129"/>
      <c r="O227" s="145"/>
      <c r="P227" s="129"/>
      <c r="Q227" s="129"/>
      <c r="R227" s="129"/>
      <c r="S227" s="139"/>
      <c r="T227" s="139"/>
      <c r="U227" s="139"/>
      <c r="V227" s="139"/>
      <c r="W227" s="139"/>
      <c r="X227" s="139"/>
      <c r="Y227" s="139"/>
      <c r="Z227" s="139"/>
      <c r="AA227" s="129"/>
      <c r="AB227" s="146"/>
      <c r="AC227" s="147"/>
      <c r="AD227" s="149"/>
      <c r="AE227" s="149"/>
      <c r="AF227" s="149"/>
      <c r="AG227" s="150"/>
      <c r="AH227" s="150"/>
      <c r="AI227" s="151"/>
    </row>
    <row r="228" ht="15.75" customHeight="1">
      <c r="E228" s="153"/>
      <c r="G228" s="153"/>
      <c r="H228" s="154"/>
      <c r="I228" s="155"/>
      <c r="J228" s="155"/>
      <c r="AB228" s="156"/>
      <c r="AI228" s="151"/>
    </row>
    <row r="229" ht="15.75" customHeight="1">
      <c r="E229" s="153"/>
      <c r="G229" s="153"/>
      <c r="H229" s="154"/>
      <c r="I229" s="155"/>
      <c r="J229" s="155"/>
      <c r="AB229" s="156"/>
      <c r="AI229" s="151"/>
    </row>
    <row r="230" ht="15.75" customHeight="1">
      <c r="E230" s="153"/>
      <c r="G230" s="153"/>
      <c r="H230" s="154"/>
      <c r="I230" s="155"/>
      <c r="J230" s="155"/>
      <c r="AB230" s="156"/>
      <c r="AI230" s="151"/>
    </row>
    <row r="231" ht="15.75" customHeight="1">
      <c r="E231" s="153"/>
      <c r="G231" s="153"/>
      <c r="H231" s="154"/>
      <c r="I231" s="155"/>
      <c r="J231" s="155"/>
      <c r="AB231" s="156"/>
      <c r="AI231" s="151"/>
    </row>
    <row r="232" ht="15.75" customHeight="1">
      <c r="E232" s="153"/>
      <c r="G232" s="153"/>
      <c r="H232" s="154"/>
      <c r="I232" s="155"/>
      <c r="J232" s="155"/>
      <c r="AB232" s="156"/>
      <c r="AI232" s="151"/>
    </row>
    <row r="233" ht="15.75" customHeight="1">
      <c r="E233" s="153"/>
      <c r="G233" s="153"/>
      <c r="H233" s="154"/>
      <c r="I233" s="155"/>
      <c r="J233" s="155"/>
      <c r="AB233" s="156"/>
      <c r="AI233" s="151"/>
    </row>
    <row r="234" ht="15.75" customHeight="1">
      <c r="E234" s="153"/>
      <c r="G234" s="153"/>
      <c r="H234" s="154"/>
      <c r="I234" s="155"/>
      <c r="J234" s="155"/>
      <c r="AB234" s="156"/>
      <c r="AI234" s="151"/>
    </row>
    <row r="235" ht="15.75" customHeight="1">
      <c r="E235" s="153"/>
      <c r="G235" s="153"/>
      <c r="H235" s="154"/>
      <c r="I235" s="155"/>
      <c r="J235" s="155"/>
      <c r="AB235" s="156"/>
      <c r="AI235" s="151"/>
    </row>
    <row r="236" ht="15.75" customHeight="1">
      <c r="E236" s="153"/>
      <c r="G236" s="153"/>
      <c r="H236" s="154"/>
      <c r="I236" s="155"/>
      <c r="J236" s="155"/>
      <c r="AB236" s="156"/>
      <c r="AI236" s="151"/>
    </row>
    <row r="237" ht="15.75" customHeight="1">
      <c r="E237" s="153"/>
      <c r="G237" s="153"/>
      <c r="H237" s="154"/>
      <c r="I237" s="155"/>
      <c r="J237" s="155"/>
      <c r="AB237" s="156"/>
      <c r="AI237" s="151"/>
    </row>
    <row r="238" ht="15.75" customHeight="1">
      <c r="E238" s="153"/>
      <c r="G238" s="153"/>
      <c r="H238" s="154"/>
      <c r="I238" s="155"/>
      <c r="J238" s="155"/>
      <c r="AB238" s="156"/>
      <c r="AI238" s="151"/>
    </row>
    <row r="239" ht="15.75" customHeight="1">
      <c r="E239" s="153"/>
      <c r="G239" s="153"/>
      <c r="H239" s="154"/>
      <c r="I239" s="155"/>
      <c r="J239" s="155"/>
      <c r="AB239" s="156"/>
      <c r="AI239" s="151"/>
    </row>
    <row r="240" ht="15.75" customHeight="1">
      <c r="E240" s="153"/>
      <c r="G240" s="153"/>
      <c r="H240" s="154"/>
      <c r="I240" s="155"/>
      <c r="J240" s="155"/>
      <c r="AB240" s="156"/>
      <c r="AI240" s="151"/>
    </row>
    <row r="241" ht="15.75" customHeight="1">
      <c r="E241" s="153"/>
      <c r="G241" s="153"/>
      <c r="H241" s="154"/>
      <c r="I241" s="155"/>
      <c r="J241" s="155"/>
      <c r="AB241" s="156"/>
      <c r="AI241" s="151"/>
    </row>
    <row r="242" ht="15.75" customHeight="1">
      <c r="E242" s="153"/>
      <c r="G242" s="153"/>
      <c r="H242" s="154"/>
      <c r="I242" s="155"/>
      <c r="J242" s="155"/>
      <c r="AB242" s="156"/>
      <c r="AI242" s="151"/>
    </row>
    <row r="243" ht="15.75" customHeight="1">
      <c r="E243" s="153"/>
      <c r="G243" s="153"/>
      <c r="H243" s="154"/>
      <c r="I243" s="155"/>
      <c r="J243" s="155"/>
      <c r="AB243" s="156"/>
      <c r="AI243" s="151"/>
    </row>
    <row r="244" ht="15.75" customHeight="1">
      <c r="E244" s="153"/>
      <c r="G244" s="153"/>
      <c r="H244" s="154"/>
      <c r="I244" s="155"/>
      <c r="J244" s="155"/>
      <c r="AB244" s="156"/>
      <c r="AI244" s="151"/>
    </row>
    <row r="245" ht="15.75" customHeight="1">
      <c r="E245" s="153"/>
      <c r="G245" s="153"/>
      <c r="H245" s="154"/>
      <c r="I245" s="155"/>
      <c r="J245" s="155"/>
      <c r="AB245" s="156"/>
      <c r="AI245" s="151"/>
    </row>
    <row r="246" ht="15.75" customHeight="1">
      <c r="E246" s="153"/>
      <c r="G246" s="153"/>
      <c r="H246" s="154"/>
      <c r="I246" s="155"/>
      <c r="J246" s="155"/>
      <c r="AB246" s="156"/>
      <c r="AI246" s="151"/>
    </row>
    <row r="247" ht="15.75" customHeight="1">
      <c r="E247" s="153"/>
      <c r="G247" s="153"/>
      <c r="H247" s="154"/>
      <c r="I247" s="155"/>
      <c r="J247" s="155"/>
      <c r="AB247" s="156"/>
      <c r="AI247" s="151"/>
    </row>
    <row r="248" ht="15.75" customHeight="1">
      <c r="E248" s="153"/>
      <c r="G248" s="153"/>
      <c r="H248" s="154"/>
      <c r="I248" s="155"/>
      <c r="J248" s="155"/>
      <c r="AB248" s="156"/>
      <c r="AI248" s="151"/>
    </row>
    <row r="249" ht="15.75" customHeight="1">
      <c r="E249" s="153"/>
      <c r="G249" s="153"/>
      <c r="H249" s="154"/>
      <c r="I249" s="155"/>
      <c r="J249" s="155"/>
      <c r="AB249" s="156"/>
      <c r="AI249" s="151"/>
    </row>
    <row r="250" ht="15.75" customHeight="1">
      <c r="E250" s="153"/>
      <c r="G250" s="153"/>
      <c r="H250" s="154"/>
      <c r="I250" s="155"/>
      <c r="J250" s="155"/>
      <c r="AB250" s="156"/>
      <c r="AI250" s="151"/>
    </row>
    <row r="251" ht="15.75" customHeight="1">
      <c r="E251" s="153"/>
      <c r="G251" s="153"/>
      <c r="H251" s="154"/>
      <c r="I251" s="155"/>
      <c r="J251" s="155"/>
      <c r="AB251" s="156"/>
      <c r="AI251" s="151"/>
    </row>
    <row r="252" ht="15.75" customHeight="1">
      <c r="E252" s="153"/>
      <c r="G252" s="153"/>
      <c r="H252" s="154"/>
      <c r="I252" s="155"/>
      <c r="J252" s="155"/>
      <c r="AB252" s="156"/>
      <c r="AI252" s="151"/>
    </row>
    <row r="253" ht="15.75" customHeight="1">
      <c r="E253" s="153"/>
      <c r="G253" s="153"/>
      <c r="H253" s="154"/>
      <c r="I253" s="155"/>
      <c r="J253" s="155"/>
      <c r="AB253" s="156"/>
      <c r="AI253" s="151"/>
    </row>
    <row r="254" ht="15.75" customHeight="1">
      <c r="E254" s="153"/>
      <c r="G254" s="153"/>
      <c r="H254" s="154"/>
      <c r="I254" s="155"/>
      <c r="J254" s="155"/>
      <c r="AB254" s="156"/>
      <c r="AI254" s="151"/>
    </row>
    <row r="255" ht="15.75" customHeight="1">
      <c r="E255" s="153"/>
      <c r="G255" s="153"/>
      <c r="H255" s="154"/>
      <c r="I255" s="155"/>
      <c r="J255" s="155"/>
      <c r="AB255" s="156"/>
      <c r="AI255" s="151"/>
    </row>
    <row r="256" ht="15.75" customHeight="1">
      <c r="E256" s="153"/>
      <c r="G256" s="153"/>
      <c r="H256" s="154"/>
      <c r="I256" s="155"/>
      <c r="J256" s="155"/>
      <c r="AB256" s="156"/>
      <c r="AI256" s="151"/>
    </row>
    <row r="257" ht="15.75" customHeight="1">
      <c r="E257" s="153"/>
      <c r="G257" s="153"/>
      <c r="H257" s="154"/>
      <c r="I257" s="155"/>
      <c r="J257" s="155"/>
      <c r="AB257" s="156"/>
      <c r="AI257" s="151"/>
    </row>
    <row r="258" ht="15.75" customHeight="1">
      <c r="E258" s="153"/>
      <c r="G258" s="153"/>
      <c r="H258" s="154"/>
      <c r="I258" s="155"/>
      <c r="J258" s="155"/>
      <c r="AB258" s="156"/>
      <c r="AI258" s="151"/>
    </row>
    <row r="259" ht="15.75" customHeight="1">
      <c r="E259" s="153"/>
      <c r="G259" s="153"/>
      <c r="H259" s="154"/>
      <c r="I259" s="155"/>
      <c r="J259" s="155"/>
      <c r="AB259" s="156"/>
      <c r="AI259" s="151"/>
    </row>
    <row r="260" ht="15.75" customHeight="1">
      <c r="E260" s="153"/>
      <c r="G260" s="153"/>
      <c r="H260" s="154"/>
      <c r="I260" s="155"/>
      <c r="J260" s="155"/>
      <c r="AB260" s="156"/>
      <c r="AI260" s="151"/>
    </row>
    <row r="261" ht="15.75" customHeight="1">
      <c r="E261" s="153"/>
      <c r="G261" s="153"/>
      <c r="H261" s="154"/>
      <c r="I261" s="155"/>
      <c r="J261" s="155"/>
      <c r="AB261" s="156"/>
      <c r="AI261" s="151"/>
    </row>
    <row r="262" ht="15.75" customHeight="1">
      <c r="I262" s="137"/>
      <c r="J262" s="137"/>
    </row>
    <row r="263" ht="15.75" customHeight="1">
      <c r="I263" s="137"/>
      <c r="J263" s="137"/>
    </row>
    <row r="264" ht="15.75" customHeight="1">
      <c r="I264" s="137"/>
      <c r="J264" s="137"/>
    </row>
    <row r="265" ht="15.75" customHeight="1">
      <c r="I265" s="137"/>
      <c r="J265" s="137"/>
    </row>
    <row r="266" ht="15.75" customHeight="1">
      <c r="I266" s="137"/>
      <c r="J266" s="137"/>
    </row>
    <row r="267" ht="15.75" customHeight="1">
      <c r="I267" s="137"/>
      <c r="J267" s="137"/>
    </row>
    <row r="268" ht="15.75" customHeight="1">
      <c r="I268" s="137"/>
      <c r="J268" s="137"/>
    </row>
    <row r="269" ht="15.75" customHeight="1">
      <c r="I269" s="137"/>
      <c r="J269" s="137"/>
    </row>
    <row r="270" ht="15.75" customHeight="1">
      <c r="I270" s="137"/>
      <c r="J270" s="137"/>
    </row>
    <row r="271" ht="15.75" customHeight="1">
      <c r="I271" s="137"/>
      <c r="J271" s="137"/>
    </row>
    <row r="272" ht="15.75" customHeight="1">
      <c r="I272" s="137"/>
      <c r="J272" s="137"/>
    </row>
    <row r="273" ht="15.75" customHeight="1">
      <c r="I273" s="137"/>
      <c r="J273" s="137"/>
    </row>
    <row r="274" ht="15.75" customHeight="1">
      <c r="I274" s="137"/>
      <c r="J274" s="137"/>
    </row>
    <row r="275" ht="15.75" customHeight="1">
      <c r="I275" s="137"/>
      <c r="J275" s="137"/>
    </row>
    <row r="276" ht="15.75" customHeight="1">
      <c r="I276" s="137"/>
      <c r="J276" s="137"/>
    </row>
    <row r="277" ht="15.75" customHeight="1">
      <c r="I277" s="137"/>
      <c r="J277" s="137"/>
    </row>
    <row r="278" ht="15.75" customHeight="1">
      <c r="I278" s="137"/>
      <c r="J278" s="137"/>
    </row>
    <row r="279" ht="15.75" customHeight="1">
      <c r="I279" s="137"/>
      <c r="J279" s="137"/>
    </row>
    <row r="280" ht="15.75" customHeight="1">
      <c r="I280" s="137"/>
      <c r="J280" s="137"/>
    </row>
    <row r="281" ht="15.75" customHeight="1">
      <c r="I281" s="137"/>
      <c r="J281" s="137"/>
    </row>
    <row r="282" ht="15.75" customHeight="1">
      <c r="I282" s="137"/>
      <c r="J282" s="137"/>
    </row>
    <row r="283" ht="15.75" customHeight="1">
      <c r="I283" s="137"/>
      <c r="J283" s="137"/>
    </row>
    <row r="284" ht="15.75" customHeight="1">
      <c r="I284" s="137"/>
      <c r="J284" s="137"/>
    </row>
    <row r="285" ht="15.75" customHeight="1">
      <c r="I285" s="137"/>
      <c r="J285" s="137"/>
    </row>
    <row r="286" ht="15.75" customHeight="1">
      <c r="I286" s="137"/>
      <c r="J286" s="137"/>
    </row>
    <row r="287" ht="15.75" customHeight="1">
      <c r="I287" s="137"/>
      <c r="J287" s="137"/>
    </row>
    <row r="288" ht="15.75" customHeight="1">
      <c r="I288" s="137"/>
      <c r="J288" s="137"/>
    </row>
    <row r="289" ht="15.75" customHeight="1">
      <c r="I289" s="137"/>
      <c r="J289" s="137"/>
    </row>
    <row r="290" ht="15.75" customHeight="1">
      <c r="I290" s="137"/>
      <c r="J290" s="137"/>
    </row>
    <row r="291" ht="15.75" customHeight="1">
      <c r="I291" s="137"/>
      <c r="J291" s="137"/>
    </row>
    <row r="292" ht="15.75" customHeight="1">
      <c r="I292" s="137"/>
      <c r="J292" s="137"/>
    </row>
    <row r="293" ht="15.75" customHeight="1">
      <c r="I293" s="137"/>
      <c r="J293" s="137"/>
    </row>
    <row r="294" ht="15.75" customHeight="1">
      <c r="I294" s="137"/>
      <c r="J294" s="137"/>
    </row>
    <row r="295" ht="15.75" customHeight="1">
      <c r="I295" s="137"/>
      <c r="J295" s="137"/>
    </row>
    <row r="296" ht="15.75" customHeight="1">
      <c r="I296" s="137"/>
      <c r="J296" s="137"/>
    </row>
    <row r="297" ht="15.75" customHeight="1">
      <c r="I297" s="137"/>
      <c r="J297" s="137"/>
    </row>
    <row r="298" ht="15.75" customHeight="1">
      <c r="I298" s="137"/>
      <c r="J298" s="137"/>
    </row>
    <row r="299" ht="15.75" customHeight="1">
      <c r="I299" s="137"/>
      <c r="J299" s="137"/>
    </row>
    <row r="300" ht="15.75" customHeight="1">
      <c r="I300" s="137"/>
      <c r="J300" s="137"/>
    </row>
    <row r="301" ht="15.75" customHeight="1">
      <c r="I301" s="137"/>
      <c r="J301" s="137"/>
    </row>
    <row r="302" ht="15.75" customHeight="1">
      <c r="I302" s="137"/>
      <c r="J302" s="137"/>
    </row>
    <row r="303" ht="15.75" customHeight="1">
      <c r="I303" s="137"/>
      <c r="J303" s="137"/>
    </row>
    <row r="304" ht="15.75" customHeight="1">
      <c r="I304" s="137"/>
      <c r="J304" s="137"/>
    </row>
    <row r="305" ht="15.75" customHeight="1">
      <c r="I305" s="137"/>
      <c r="J305" s="137"/>
    </row>
    <row r="306" ht="15.75" customHeight="1">
      <c r="I306" s="137"/>
      <c r="J306" s="137"/>
    </row>
    <row r="307" ht="15.75" customHeight="1">
      <c r="I307" s="137"/>
      <c r="J307" s="137"/>
    </row>
    <row r="308" ht="15.75" customHeight="1">
      <c r="I308" s="137"/>
      <c r="J308" s="137"/>
    </row>
    <row r="309" ht="15.75" customHeight="1">
      <c r="I309" s="137"/>
      <c r="J309" s="137"/>
    </row>
    <row r="310" ht="15.75" customHeight="1">
      <c r="I310" s="137"/>
      <c r="J310" s="137"/>
    </row>
    <row r="311" ht="15.75" customHeight="1">
      <c r="I311" s="137"/>
      <c r="J311" s="137"/>
    </row>
    <row r="312" ht="15.75" customHeight="1">
      <c r="I312" s="137"/>
      <c r="J312" s="137"/>
    </row>
    <row r="313" ht="15.75" customHeight="1">
      <c r="I313" s="137"/>
      <c r="J313" s="137"/>
    </row>
    <row r="314" ht="15.75" customHeight="1">
      <c r="I314" s="137"/>
      <c r="J314" s="137"/>
    </row>
    <row r="315" ht="15.75" customHeight="1">
      <c r="I315" s="137"/>
      <c r="J315" s="137"/>
    </row>
    <row r="316" ht="15.75" customHeight="1">
      <c r="I316" s="137"/>
      <c r="J316" s="137"/>
    </row>
    <row r="317" ht="15.75" customHeight="1">
      <c r="I317" s="137"/>
      <c r="J317" s="137"/>
    </row>
    <row r="318" ht="15.75" customHeight="1">
      <c r="I318" s="137"/>
      <c r="J318" s="137"/>
    </row>
    <row r="319" ht="15.75" customHeight="1">
      <c r="I319" s="137"/>
      <c r="J319" s="137"/>
    </row>
    <row r="320" ht="15.75" customHeight="1">
      <c r="I320" s="137"/>
      <c r="J320" s="137"/>
    </row>
    <row r="321" ht="15.75" customHeight="1">
      <c r="I321" s="137"/>
      <c r="J321" s="137"/>
    </row>
    <row r="322" ht="15.75" customHeight="1">
      <c r="I322" s="137"/>
      <c r="J322" s="137"/>
    </row>
    <row r="323" ht="15.75" customHeight="1">
      <c r="I323" s="137"/>
      <c r="J323" s="137"/>
    </row>
    <row r="324" ht="15.75" customHeight="1">
      <c r="I324" s="137"/>
      <c r="J324" s="137"/>
    </row>
    <row r="325" ht="15.75" customHeight="1">
      <c r="I325" s="137"/>
      <c r="J325" s="137"/>
    </row>
    <row r="326" ht="15.75" customHeight="1">
      <c r="I326" s="137"/>
      <c r="J326" s="137"/>
    </row>
    <row r="327" ht="15.75" customHeight="1">
      <c r="I327" s="137"/>
      <c r="J327" s="137"/>
    </row>
    <row r="328" ht="15.75" customHeight="1">
      <c r="I328" s="137"/>
      <c r="J328" s="137"/>
    </row>
    <row r="329" ht="15.75" customHeight="1">
      <c r="I329" s="137"/>
      <c r="J329" s="137"/>
    </row>
    <row r="330" ht="15.75" customHeight="1">
      <c r="I330" s="137"/>
      <c r="J330" s="137"/>
    </row>
    <row r="331" ht="15.75" customHeight="1">
      <c r="I331" s="137"/>
      <c r="J331" s="137"/>
    </row>
    <row r="332" ht="15.75" customHeight="1">
      <c r="I332" s="137"/>
      <c r="J332" s="137"/>
    </row>
    <row r="333" ht="15.75" customHeight="1">
      <c r="I333" s="137"/>
      <c r="J333" s="137"/>
    </row>
    <row r="334" ht="15.75" customHeight="1">
      <c r="I334" s="137"/>
      <c r="J334" s="137"/>
    </row>
    <row r="335" ht="15.75" customHeight="1">
      <c r="I335" s="137"/>
      <c r="J335" s="137"/>
    </row>
    <row r="336" ht="15.75" customHeight="1">
      <c r="I336" s="137"/>
      <c r="J336" s="137"/>
    </row>
    <row r="337" ht="15.75" customHeight="1">
      <c r="I337" s="137"/>
      <c r="J337" s="137"/>
    </row>
    <row r="338" ht="15.75" customHeight="1">
      <c r="I338" s="137"/>
      <c r="J338" s="137"/>
    </row>
    <row r="339" ht="15.75" customHeight="1">
      <c r="I339" s="137"/>
      <c r="J339" s="137"/>
    </row>
    <row r="340" ht="15.75" customHeight="1">
      <c r="I340" s="137"/>
      <c r="J340" s="137"/>
    </row>
    <row r="341" ht="15.75" customHeight="1">
      <c r="I341" s="137"/>
      <c r="J341" s="137"/>
    </row>
    <row r="342" ht="15.75" customHeight="1">
      <c r="I342" s="137"/>
      <c r="J342" s="137"/>
    </row>
    <row r="343" ht="15.75" customHeight="1">
      <c r="I343" s="137"/>
      <c r="J343" s="137"/>
    </row>
    <row r="344" ht="15.75" customHeight="1">
      <c r="I344" s="137"/>
      <c r="J344" s="137"/>
    </row>
    <row r="345" ht="15.75" customHeight="1">
      <c r="I345" s="137"/>
      <c r="J345" s="137"/>
    </row>
    <row r="346" ht="15.75" customHeight="1">
      <c r="I346" s="137"/>
      <c r="J346" s="137"/>
    </row>
    <row r="347" ht="15.75" customHeight="1">
      <c r="I347" s="137"/>
      <c r="J347" s="137"/>
    </row>
    <row r="348" ht="15.75" customHeight="1">
      <c r="I348" s="137"/>
      <c r="J348" s="137"/>
    </row>
    <row r="349" ht="15.75" customHeight="1">
      <c r="I349" s="137"/>
      <c r="J349" s="137"/>
    </row>
    <row r="350" ht="15.75" customHeight="1">
      <c r="I350" s="137"/>
      <c r="J350" s="137"/>
    </row>
    <row r="351" ht="15.75" customHeight="1">
      <c r="I351" s="137"/>
      <c r="J351" s="137"/>
    </row>
    <row r="352" ht="15.75" customHeight="1">
      <c r="I352" s="137"/>
      <c r="J352" s="137"/>
    </row>
    <row r="353" ht="15.75" customHeight="1">
      <c r="I353" s="137"/>
      <c r="J353" s="137"/>
    </row>
    <row r="354" ht="15.75" customHeight="1">
      <c r="I354" s="137"/>
      <c r="J354" s="137"/>
    </row>
    <row r="355" ht="15.75" customHeight="1">
      <c r="I355" s="137"/>
      <c r="J355" s="137"/>
    </row>
    <row r="356" ht="15.75" customHeight="1">
      <c r="I356" s="137"/>
      <c r="J356" s="137"/>
    </row>
    <row r="357" ht="15.75" customHeight="1">
      <c r="I357" s="137"/>
      <c r="J357" s="137"/>
    </row>
    <row r="358" ht="15.75" customHeight="1">
      <c r="I358" s="137"/>
      <c r="J358" s="137"/>
    </row>
    <row r="359" ht="15.75" customHeight="1">
      <c r="I359" s="137"/>
      <c r="J359" s="137"/>
    </row>
    <row r="360" ht="15.75" customHeight="1">
      <c r="I360" s="137"/>
      <c r="J360" s="137"/>
    </row>
    <row r="361" ht="15.75" customHeight="1">
      <c r="I361" s="137"/>
      <c r="J361" s="137"/>
    </row>
    <row r="362" ht="15.75" customHeight="1">
      <c r="I362" s="137"/>
      <c r="J362" s="137"/>
    </row>
    <row r="363" ht="15.75" customHeight="1">
      <c r="I363" s="137"/>
      <c r="J363" s="137"/>
    </row>
    <row r="364" ht="15.75" customHeight="1">
      <c r="I364" s="137"/>
      <c r="J364" s="137"/>
    </row>
    <row r="365" ht="15.75" customHeight="1">
      <c r="I365" s="137"/>
      <c r="J365" s="137"/>
    </row>
    <row r="366" ht="15.75" customHeight="1">
      <c r="I366" s="137"/>
      <c r="J366" s="137"/>
    </row>
    <row r="367" ht="15.75" customHeight="1">
      <c r="I367" s="137"/>
      <c r="J367" s="137"/>
    </row>
    <row r="368" ht="15.75" customHeight="1">
      <c r="I368" s="137"/>
      <c r="J368" s="137"/>
    </row>
    <row r="369" ht="15.75" customHeight="1">
      <c r="I369" s="137"/>
      <c r="J369" s="137"/>
    </row>
    <row r="370" ht="15.75" customHeight="1">
      <c r="I370" s="137"/>
      <c r="J370" s="137"/>
    </row>
    <row r="371" ht="15.75" customHeight="1">
      <c r="I371" s="137"/>
      <c r="J371" s="137"/>
    </row>
    <row r="372" ht="15.75" customHeight="1">
      <c r="I372" s="137"/>
      <c r="J372" s="137"/>
    </row>
    <row r="373" ht="15.75" customHeight="1">
      <c r="I373" s="137"/>
      <c r="J373" s="137"/>
    </row>
    <row r="374" ht="15.75" customHeight="1">
      <c r="I374" s="137"/>
      <c r="J374" s="137"/>
    </row>
    <row r="375" ht="15.75" customHeight="1">
      <c r="I375" s="137"/>
      <c r="J375" s="137"/>
    </row>
    <row r="376" ht="15.75" customHeight="1">
      <c r="I376" s="137"/>
      <c r="J376" s="137"/>
    </row>
    <row r="377" ht="15.75" customHeight="1">
      <c r="I377" s="137"/>
      <c r="J377" s="137"/>
    </row>
    <row r="378" ht="15.75" customHeight="1">
      <c r="I378" s="137"/>
      <c r="J378" s="137"/>
    </row>
    <row r="379" ht="15.75" customHeight="1">
      <c r="I379" s="137"/>
      <c r="J379" s="137"/>
    </row>
    <row r="380" ht="15.75" customHeight="1">
      <c r="I380" s="137"/>
      <c r="J380" s="137"/>
    </row>
    <row r="381" ht="15.75" customHeight="1">
      <c r="I381" s="137"/>
      <c r="J381" s="137"/>
    </row>
    <row r="382" ht="15.75" customHeight="1">
      <c r="I382" s="137"/>
      <c r="J382" s="137"/>
    </row>
    <row r="383" ht="15.75" customHeight="1">
      <c r="I383" s="137"/>
      <c r="J383" s="137"/>
    </row>
    <row r="384" ht="15.75" customHeight="1">
      <c r="I384" s="137"/>
      <c r="J384" s="137"/>
    </row>
    <row r="385" ht="15.75" customHeight="1">
      <c r="I385" s="137"/>
      <c r="J385" s="137"/>
    </row>
    <row r="386" ht="15.75" customHeight="1">
      <c r="I386" s="137"/>
      <c r="J386" s="137"/>
    </row>
    <row r="387" ht="15.75" customHeight="1">
      <c r="I387" s="137"/>
      <c r="J387" s="137"/>
    </row>
    <row r="388" ht="15.75" customHeight="1">
      <c r="I388" s="137"/>
      <c r="J388" s="137"/>
    </row>
    <row r="389" ht="15.75" customHeight="1">
      <c r="I389" s="137"/>
      <c r="J389" s="137"/>
    </row>
    <row r="390" ht="15.75" customHeight="1">
      <c r="I390" s="137"/>
      <c r="J390" s="137"/>
    </row>
    <row r="391" ht="15.75" customHeight="1">
      <c r="I391" s="137"/>
      <c r="J391" s="137"/>
    </row>
    <row r="392" ht="15.75" customHeight="1">
      <c r="I392" s="137"/>
      <c r="J392" s="137"/>
    </row>
    <row r="393" ht="15.75" customHeight="1">
      <c r="I393" s="137"/>
      <c r="J393" s="137"/>
    </row>
    <row r="394" ht="15.75" customHeight="1">
      <c r="I394" s="137"/>
      <c r="J394" s="137"/>
    </row>
    <row r="395" ht="15.75" customHeight="1">
      <c r="I395" s="137"/>
      <c r="J395" s="137"/>
    </row>
    <row r="396" ht="15.75" customHeight="1">
      <c r="I396" s="137"/>
      <c r="J396" s="137"/>
    </row>
    <row r="397" ht="15.75" customHeight="1">
      <c r="I397" s="137"/>
      <c r="J397" s="137"/>
    </row>
    <row r="398" ht="15.75" customHeight="1">
      <c r="I398" s="137"/>
      <c r="J398" s="137"/>
    </row>
    <row r="399" ht="15.75" customHeight="1">
      <c r="I399" s="137"/>
      <c r="J399" s="137"/>
    </row>
    <row r="400" ht="15.75" customHeight="1">
      <c r="I400" s="137"/>
      <c r="J400" s="137"/>
    </row>
    <row r="401" ht="15.75" customHeight="1">
      <c r="I401" s="137"/>
      <c r="J401" s="137"/>
    </row>
    <row r="402" ht="15.75" customHeight="1">
      <c r="I402" s="137"/>
      <c r="J402" s="137"/>
    </row>
    <row r="403" ht="15.75" customHeight="1">
      <c r="I403" s="137"/>
      <c r="J403" s="137"/>
    </row>
    <row r="404" ht="15.75" customHeight="1">
      <c r="I404" s="137"/>
      <c r="J404" s="137"/>
    </row>
    <row r="405" ht="15.75" customHeight="1">
      <c r="I405" s="137"/>
      <c r="J405" s="137"/>
    </row>
    <row r="406" ht="15.75" customHeight="1">
      <c r="I406" s="137"/>
      <c r="J406" s="137"/>
    </row>
    <row r="407" ht="15.75" customHeight="1">
      <c r="I407" s="137"/>
      <c r="J407" s="137"/>
    </row>
    <row r="408" ht="15.75" customHeight="1">
      <c r="I408" s="137"/>
      <c r="J408" s="137"/>
    </row>
    <row r="409" ht="15.75" customHeight="1">
      <c r="I409" s="137"/>
      <c r="J409" s="137"/>
    </row>
    <row r="410" ht="15.75" customHeight="1">
      <c r="I410" s="137"/>
      <c r="J410" s="137"/>
    </row>
    <row r="411" ht="15.75" customHeight="1">
      <c r="I411" s="137"/>
      <c r="J411" s="137"/>
    </row>
    <row r="412" ht="15.75" customHeight="1">
      <c r="I412" s="137"/>
      <c r="J412" s="137"/>
    </row>
    <row r="413" ht="15.75" customHeight="1">
      <c r="I413" s="137"/>
      <c r="J413" s="137"/>
    </row>
    <row r="414" ht="15.75" customHeight="1">
      <c r="I414" s="137"/>
      <c r="J414" s="137"/>
    </row>
    <row r="415" ht="15.75" customHeight="1">
      <c r="I415" s="137"/>
      <c r="J415" s="137"/>
    </row>
    <row r="416" ht="15.75" customHeight="1">
      <c r="I416" s="137"/>
      <c r="J416" s="137"/>
    </row>
    <row r="417" ht="15.75" customHeight="1">
      <c r="I417" s="137"/>
      <c r="J417" s="137"/>
    </row>
    <row r="418" ht="15.75" customHeight="1">
      <c r="I418" s="137"/>
      <c r="J418" s="137"/>
    </row>
    <row r="419" ht="15.75" customHeight="1">
      <c r="I419" s="137"/>
      <c r="J419" s="137"/>
    </row>
    <row r="420" ht="15.75" customHeight="1">
      <c r="I420" s="137"/>
      <c r="J420" s="137"/>
    </row>
    <row r="421" ht="15.75" customHeight="1">
      <c r="I421" s="137"/>
      <c r="J421" s="137"/>
    </row>
    <row r="422" ht="15.75" customHeight="1">
      <c r="I422" s="137"/>
      <c r="J422" s="137"/>
    </row>
    <row r="423" ht="15.75" customHeight="1">
      <c r="I423" s="137"/>
      <c r="J423" s="137"/>
    </row>
    <row r="424" ht="15.75" customHeight="1">
      <c r="I424" s="137"/>
      <c r="J424" s="137"/>
    </row>
    <row r="425" ht="15.75" customHeight="1">
      <c r="I425" s="137"/>
      <c r="J425" s="137"/>
    </row>
    <row r="426" ht="15.75" customHeight="1">
      <c r="I426" s="137"/>
      <c r="J426" s="137"/>
    </row>
    <row r="427" ht="15.75" customHeight="1">
      <c r="I427" s="137"/>
      <c r="J427" s="137"/>
    </row>
    <row r="428" ht="15.75" customHeight="1">
      <c r="I428" s="137"/>
      <c r="J428" s="137"/>
    </row>
    <row r="429" ht="15.75" customHeight="1">
      <c r="I429" s="137"/>
      <c r="J429" s="137"/>
    </row>
    <row r="430" ht="15.75" customHeight="1">
      <c r="I430" s="137"/>
      <c r="J430" s="137"/>
    </row>
    <row r="431" ht="15.75" customHeight="1">
      <c r="I431" s="137"/>
      <c r="J431" s="137"/>
    </row>
    <row r="432" ht="15.75" customHeight="1">
      <c r="I432" s="137"/>
      <c r="J432" s="137"/>
    </row>
    <row r="433" ht="15.75" customHeight="1">
      <c r="I433" s="137"/>
      <c r="J433" s="137"/>
    </row>
    <row r="434" ht="15.75" customHeight="1">
      <c r="I434" s="137"/>
      <c r="J434" s="137"/>
    </row>
    <row r="435" ht="15.75" customHeight="1">
      <c r="I435" s="137"/>
      <c r="J435" s="137"/>
    </row>
    <row r="436" ht="15.75" customHeight="1">
      <c r="I436" s="137"/>
      <c r="J436" s="137"/>
    </row>
    <row r="437" ht="15.75" customHeight="1">
      <c r="I437" s="137"/>
      <c r="J437" s="137"/>
    </row>
    <row r="438" ht="15.75" customHeight="1">
      <c r="I438" s="137"/>
      <c r="J438" s="137"/>
    </row>
    <row r="439" ht="15.75" customHeight="1">
      <c r="I439" s="137"/>
      <c r="J439" s="137"/>
    </row>
    <row r="440" ht="15.75" customHeight="1">
      <c r="I440" s="137"/>
      <c r="J440" s="137"/>
    </row>
    <row r="441" ht="15.75" customHeight="1">
      <c r="I441" s="137"/>
      <c r="J441" s="137"/>
    </row>
    <row r="442" ht="15.75" customHeight="1">
      <c r="I442" s="137"/>
      <c r="J442" s="137"/>
    </row>
    <row r="443" ht="15.75" customHeight="1">
      <c r="I443" s="137"/>
      <c r="J443" s="137"/>
    </row>
    <row r="444" ht="15.75" customHeight="1">
      <c r="I444" s="137"/>
      <c r="J444" s="137"/>
    </row>
    <row r="445" ht="15.75" customHeight="1">
      <c r="I445" s="137"/>
      <c r="J445" s="137"/>
    </row>
    <row r="446" ht="15.75" customHeight="1">
      <c r="I446" s="137"/>
      <c r="J446" s="137"/>
    </row>
    <row r="447" ht="15.75" customHeight="1">
      <c r="I447" s="137"/>
      <c r="J447" s="137"/>
    </row>
    <row r="448" ht="15.75" customHeight="1">
      <c r="I448" s="137"/>
      <c r="J448" s="137"/>
    </row>
    <row r="449" ht="15.75" customHeight="1">
      <c r="I449" s="137"/>
      <c r="J449" s="137"/>
    </row>
    <row r="450" ht="15.75" customHeight="1">
      <c r="I450" s="137"/>
      <c r="J450" s="137"/>
    </row>
    <row r="451" ht="15.75" customHeight="1">
      <c r="I451" s="137"/>
      <c r="J451" s="137"/>
    </row>
    <row r="452" ht="15.75" customHeight="1">
      <c r="I452" s="137"/>
      <c r="J452" s="137"/>
    </row>
    <row r="453" ht="15.75" customHeight="1">
      <c r="I453" s="137"/>
      <c r="J453" s="137"/>
    </row>
    <row r="454" ht="15.75" customHeight="1">
      <c r="I454" s="137"/>
      <c r="J454" s="137"/>
    </row>
    <row r="455" ht="15.75" customHeight="1">
      <c r="I455" s="137"/>
      <c r="J455" s="137"/>
    </row>
    <row r="456" ht="15.75" customHeight="1">
      <c r="I456" s="137"/>
      <c r="J456" s="137"/>
    </row>
    <row r="457" ht="15.75" customHeight="1">
      <c r="I457" s="137"/>
      <c r="J457" s="137"/>
    </row>
    <row r="458" ht="15.75" customHeight="1">
      <c r="I458" s="137"/>
      <c r="J458" s="137"/>
    </row>
    <row r="459" ht="15.75" customHeight="1">
      <c r="I459" s="137"/>
      <c r="J459" s="137"/>
    </row>
    <row r="460" ht="15.75" customHeight="1">
      <c r="I460" s="137"/>
      <c r="J460" s="137"/>
    </row>
    <row r="461" ht="15.75" customHeight="1">
      <c r="I461" s="137"/>
      <c r="J461" s="137"/>
    </row>
    <row r="462" ht="15.75" customHeight="1">
      <c r="I462" s="137"/>
      <c r="J462" s="137"/>
    </row>
    <row r="463" ht="15.75" customHeight="1">
      <c r="I463" s="137"/>
      <c r="J463" s="137"/>
    </row>
    <row r="464" ht="15.75" customHeight="1">
      <c r="I464" s="137"/>
      <c r="J464" s="137"/>
    </row>
    <row r="465" ht="15.75" customHeight="1">
      <c r="I465" s="137"/>
      <c r="J465" s="137"/>
    </row>
    <row r="466" ht="15.75" customHeight="1">
      <c r="I466" s="137"/>
      <c r="J466" s="137"/>
    </row>
    <row r="467" ht="15.75" customHeight="1">
      <c r="I467" s="137"/>
      <c r="J467" s="137"/>
    </row>
    <row r="468" ht="15.75" customHeight="1">
      <c r="I468" s="137"/>
      <c r="J468" s="137"/>
    </row>
    <row r="469" ht="15.75" customHeight="1">
      <c r="I469" s="137"/>
      <c r="J469" s="137"/>
    </row>
    <row r="470" ht="15.75" customHeight="1">
      <c r="I470" s="137"/>
      <c r="J470" s="137"/>
    </row>
    <row r="471" ht="15.75" customHeight="1">
      <c r="I471" s="137"/>
      <c r="J471" s="137"/>
    </row>
    <row r="472" ht="15.75" customHeight="1">
      <c r="I472" s="137"/>
      <c r="J472" s="137"/>
    </row>
    <row r="473" ht="15.75" customHeight="1">
      <c r="I473" s="137"/>
      <c r="J473" s="137"/>
    </row>
    <row r="474" ht="15.75" customHeight="1">
      <c r="I474" s="137"/>
      <c r="J474" s="137"/>
    </row>
    <row r="475" ht="15.75" customHeight="1">
      <c r="I475" s="137"/>
      <c r="J475" s="137"/>
    </row>
    <row r="476" ht="15.75" customHeight="1">
      <c r="I476" s="137"/>
      <c r="J476" s="137"/>
    </row>
    <row r="477" ht="15.75" customHeight="1">
      <c r="I477" s="137"/>
      <c r="J477" s="137"/>
    </row>
    <row r="478" ht="15.75" customHeight="1">
      <c r="I478" s="137"/>
      <c r="J478" s="137"/>
    </row>
    <row r="479" ht="15.75" customHeight="1">
      <c r="I479" s="137"/>
      <c r="J479" s="137"/>
    </row>
    <row r="480" ht="15.75" customHeight="1">
      <c r="I480" s="137"/>
      <c r="J480" s="137"/>
    </row>
    <row r="481" ht="15.75" customHeight="1">
      <c r="I481" s="137"/>
      <c r="J481" s="137"/>
    </row>
    <row r="482" ht="15.75" customHeight="1">
      <c r="I482" s="137"/>
      <c r="J482" s="137"/>
    </row>
    <row r="483" ht="15.75" customHeight="1">
      <c r="I483" s="137"/>
      <c r="J483" s="137"/>
    </row>
    <row r="484" ht="15.75" customHeight="1">
      <c r="I484" s="137"/>
      <c r="J484" s="137"/>
    </row>
    <row r="485" ht="15.75" customHeight="1">
      <c r="I485" s="137"/>
      <c r="J485" s="137"/>
    </row>
    <row r="486" ht="15.75" customHeight="1">
      <c r="I486" s="137"/>
      <c r="J486" s="137"/>
    </row>
    <row r="487" ht="15.75" customHeight="1">
      <c r="I487" s="137"/>
      <c r="J487" s="137"/>
    </row>
    <row r="488" ht="15.75" customHeight="1">
      <c r="I488" s="137"/>
      <c r="J488" s="137"/>
    </row>
    <row r="489" ht="15.75" customHeight="1">
      <c r="I489" s="137"/>
      <c r="J489" s="137"/>
    </row>
    <row r="490" ht="15.75" customHeight="1">
      <c r="I490" s="137"/>
      <c r="J490" s="137"/>
    </row>
    <row r="491" ht="15.75" customHeight="1">
      <c r="I491" s="137"/>
      <c r="J491" s="137"/>
    </row>
    <row r="492" ht="15.75" customHeight="1">
      <c r="I492" s="137"/>
      <c r="J492" s="137"/>
    </row>
    <row r="493" ht="15.75" customHeight="1">
      <c r="I493" s="137"/>
      <c r="J493" s="137"/>
    </row>
    <row r="494" ht="15.75" customHeight="1">
      <c r="I494" s="137"/>
      <c r="J494" s="137"/>
    </row>
    <row r="495" ht="15.75" customHeight="1">
      <c r="I495" s="137"/>
      <c r="J495" s="137"/>
    </row>
    <row r="496" ht="15.75" customHeight="1">
      <c r="I496" s="137"/>
      <c r="J496" s="137"/>
    </row>
    <row r="497" ht="15.75" customHeight="1">
      <c r="I497" s="137"/>
      <c r="J497" s="137"/>
    </row>
    <row r="498" ht="15.75" customHeight="1">
      <c r="I498" s="137"/>
      <c r="J498" s="137"/>
    </row>
    <row r="499" ht="15.75" customHeight="1">
      <c r="I499" s="137"/>
      <c r="J499" s="137"/>
    </row>
    <row r="500" ht="15.75" customHeight="1">
      <c r="I500" s="137"/>
      <c r="J500" s="137"/>
    </row>
    <row r="501" ht="15.75" customHeight="1">
      <c r="I501" s="137"/>
      <c r="J501" s="137"/>
    </row>
    <row r="502" ht="15.75" customHeight="1">
      <c r="I502" s="137"/>
      <c r="J502" s="137"/>
    </row>
    <row r="503" ht="15.75" customHeight="1">
      <c r="I503" s="137"/>
      <c r="J503" s="137"/>
    </row>
    <row r="504" ht="15.75" customHeight="1">
      <c r="I504" s="137"/>
      <c r="J504" s="137"/>
    </row>
    <row r="505" ht="15.75" customHeight="1">
      <c r="I505" s="137"/>
      <c r="J505" s="137"/>
    </row>
    <row r="506" ht="15.75" customHeight="1">
      <c r="I506" s="137"/>
      <c r="J506" s="137"/>
    </row>
    <row r="507" ht="15.75" customHeight="1">
      <c r="I507" s="137"/>
      <c r="J507" s="137"/>
    </row>
    <row r="508" ht="15.75" customHeight="1">
      <c r="I508" s="137"/>
      <c r="J508" s="137"/>
    </row>
    <row r="509" ht="15.75" customHeight="1">
      <c r="I509" s="137"/>
      <c r="J509" s="137"/>
    </row>
    <row r="510" ht="15.75" customHeight="1">
      <c r="I510" s="137"/>
      <c r="J510" s="137"/>
    </row>
    <row r="511" ht="15.75" customHeight="1">
      <c r="I511" s="137"/>
      <c r="J511" s="137"/>
    </row>
    <row r="512" ht="15.75" customHeight="1">
      <c r="I512" s="137"/>
      <c r="J512" s="137"/>
    </row>
    <row r="513" ht="15.75" customHeight="1">
      <c r="I513" s="137"/>
      <c r="J513" s="137"/>
    </row>
    <row r="514" ht="15.75" customHeight="1">
      <c r="I514" s="137"/>
      <c r="J514" s="137"/>
    </row>
    <row r="515" ht="15.75" customHeight="1">
      <c r="I515" s="137"/>
      <c r="J515" s="137"/>
    </row>
    <row r="516" ht="15.75" customHeight="1">
      <c r="I516" s="137"/>
      <c r="J516" s="137"/>
    </row>
    <row r="517" ht="15.75" customHeight="1">
      <c r="I517" s="137"/>
      <c r="J517" s="137"/>
    </row>
    <row r="518" ht="15.75" customHeight="1">
      <c r="I518" s="137"/>
      <c r="J518" s="137"/>
    </row>
    <row r="519" ht="15.75" customHeight="1">
      <c r="I519" s="137"/>
      <c r="J519" s="137"/>
    </row>
    <row r="520" ht="15.75" customHeight="1">
      <c r="I520" s="137"/>
      <c r="J520" s="137"/>
    </row>
    <row r="521" ht="15.75" customHeight="1">
      <c r="I521" s="137"/>
      <c r="J521" s="137"/>
    </row>
    <row r="522" ht="15.75" customHeight="1">
      <c r="I522" s="137"/>
      <c r="J522" s="137"/>
    </row>
    <row r="523" ht="15.75" customHeight="1">
      <c r="I523" s="137"/>
      <c r="J523" s="137"/>
    </row>
    <row r="524" ht="15.75" customHeight="1">
      <c r="I524" s="137"/>
      <c r="J524" s="137"/>
    </row>
    <row r="525" ht="15.75" customHeight="1">
      <c r="I525" s="137"/>
      <c r="J525" s="137"/>
    </row>
    <row r="526" ht="15.75" customHeight="1">
      <c r="I526" s="137"/>
      <c r="J526" s="137"/>
    </row>
    <row r="527" ht="15.75" customHeight="1">
      <c r="I527" s="137"/>
      <c r="J527" s="137"/>
    </row>
    <row r="528" ht="15.75" customHeight="1">
      <c r="I528" s="137"/>
      <c r="J528" s="137"/>
    </row>
    <row r="529" ht="15.75" customHeight="1">
      <c r="I529" s="137"/>
      <c r="J529" s="137"/>
    </row>
    <row r="530" ht="15.75" customHeight="1">
      <c r="I530" s="137"/>
      <c r="J530" s="137"/>
    </row>
    <row r="531" ht="15.75" customHeight="1">
      <c r="I531" s="137"/>
      <c r="J531" s="137"/>
    </row>
    <row r="532" ht="15.75" customHeight="1">
      <c r="I532" s="137"/>
      <c r="J532" s="137"/>
    </row>
    <row r="533" ht="15.75" customHeight="1">
      <c r="I533" s="137"/>
      <c r="J533" s="137"/>
    </row>
    <row r="534" ht="15.75" customHeight="1">
      <c r="I534" s="137"/>
      <c r="J534" s="137"/>
    </row>
    <row r="535" ht="15.75" customHeight="1">
      <c r="I535" s="137"/>
      <c r="J535" s="137"/>
    </row>
    <row r="536" ht="15.75" customHeight="1">
      <c r="I536" s="137"/>
      <c r="J536" s="137"/>
    </row>
    <row r="537" ht="15.75" customHeight="1">
      <c r="I537" s="137"/>
      <c r="J537" s="137"/>
    </row>
    <row r="538" ht="15.75" customHeight="1">
      <c r="I538" s="137"/>
      <c r="J538" s="137"/>
    </row>
    <row r="539" ht="15.75" customHeight="1">
      <c r="I539" s="137"/>
      <c r="J539" s="137"/>
    </row>
    <row r="540" ht="15.75" customHeight="1">
      <c r="I540" s="137"/>
      <c r="J540" s="137"/>
    </row>
    <row r="541" ht="15.75" customHeight="1">
      <c r="I541" s="137"/>
      <c r="J541" s="137"/>
    </row>
    <row r="542" ht="15.75" customHeight="1">
      <c r="I542" s="137"/>
      <c r="J542" s="137"/>
    </row>
    <row r="543" ht="15.75" customHeight="1">
      <c r="I543" s="137"/>
      <c r="J543" s="137"/>
    </row>
    <row r="544" ht="15.75" customHeight="1">
      <c r="I544" s="137"/>
      <c r="J544" s="137"/>
    </row>
    <row r="545" ht="15.75" customHeight="1">
      <c r="I545" s="137"/>
      <c r="J545" s="137"/>
    </row>
    <row r="546" ht="15.75" customHeight="1">
      <c r="I546" s="137"/>
      <c r="J546" s="137"/>
    </row>
    <row r="547" ht="15.75" customHeight="1">
      <c r="I547" s="137"/>
      <c r="J547" s="137"/>
    </row>
    <row r="548" ht="15.75" customHeight="1">
      <c r="I548" s="137"/>
      <c r="J548" s="137"/>
    </row>
    <row r="549" ht="15.75" customHeight="1">
      <c r="I549" s="137"/>
      <c r="J549" s="137"/>
    </row>
    <row r="550" ht="15.75" customHeight="1">
      <c r="I550" s="137"/>
      <c r="J550" s="137"/>
    </row>
    <row r="551" ht="15.75" customHeight="1">
      <c r="I551" s="137"/>
      <c r="J551" s="137"/>
    </row>
    <row r="552" ht="15.75" customHeight="1">
      <c r="I552" s="137"/>
      <c r="J552" s="137"/>
    </row>
    <row r="553" ht="15.75" customHeight="1">
      <c r="I553" s="137"/>
      <c r="J553" s="137"/>
    </row>
    <row r="554" ht="15.75" customHeight="1">
      <c r="I554" s="137"/>
      <c r="J554" s="137"/>
    </row>
    <row r="555" ht="15.75" customHeight="1">
      <c r="I555" s="137"/>
      <c r="J555" s="137"/>
    </row>
    <row r="556" ht="15.75" customHeight="1">
      <c r="I556" s="137"/>
      <c r="J556" s="137"/>
    </row>
    <row r="557" ht="15.75" customHeight="1">
      <c r="I557" s="137"/>
      <c r="J557" s="137"/>
    </row>
    <row r="558" ht="15.75" customHeight="1">
      <c r="I558" s="137"/>
      <c r="J558" s="137"/>
    </row>
    <row r="559" ht="15.75" customHeight="1">
      <c r="I559" s="137"/>
      <c r="J559" s="137"/>
    </row>
    <row r="560" ht="15.75" customHeight="1">
      <c r="I560" s="137"/>
      <c r="J560" s="137"/>
    </row>
    <row r="561" ht="15.75" customHeight="1">
      <c r="I561" s="137"/>
      <c r="J561" s="137"/>
    </row>
    <row r="562" ht="15.75" customHeight="1">
      <c r="I562" s="137"/>
      <c r="J562" s="137"/>
    </row>
    <row r="563" ht="15.75" customHeight="1">
      <c r="I563" s="137"/>
      <c r="J563" s="137"/>
    </row>
    <row r="564" ht="15.75" customHeight="1">
      <c r="I564" s="137"/>
      <c r="J564" s="137"/>
    </row>
    <row r="565" ht="15.75" customHeight="1">
      <c r="I565" s="137"/>
      <c r="J565" s="137"/>
    </row>
    <row r="566" ht="15.75" customHeight="1">
      <c r="I566" s="137"/>
      <c r="J566" s="137"/>
    </row>
    <row r="567" ht="15.75" customHeight="1">
      <c r="I567" s="137"/>
      <c r="J567" s="137"/>
    </row>
    <row r="568" ht="15.75" customHeight="1">
      <c r="I568" s="137"/>
      <c r="J568" s="137"/>
    </row>
    <row r="569" ht="15.75" customHeight="1">
      <c r="I569" s="137"/>
      <c r="J569" s="137"/>
    </row>
    <row r="570" ht="15.75" customHeight="1">
      <c r="I570" s="137"/>
      <c r="J570" s="137"/>
    </row>
    <row r="571" ht="15.75" customHeight="1">
      <c r="I571" s="137"/>
      <c r="J571" s="137"/>
    </row>
    <row r="572" ht="15.75" customHeight="1">
      <c r="I572" s="137"/>
      <c r="J572" s="137"/>
    </row>
    <row r="573" ht="15.75" customHeight="1">
      <c r="I573" s="137"/>
      <c r="J573" s="137"/>
    </row>
    <row r="574" ht="15.75" customHeight="1">
      <c r="I574" s="137"/>
      <c r="J574" s="137"/>
    </row>
    <row r="575" ht="15.75" customHeight="1">
      <c r="I575" s="137"/>
      <c r="J575" s="137"/>
    </row>
    <row r="576" ht="15.75" customHeight="1">
      <c r="I576" s="137"/>
      <c r="J576" s="137"/>
    </row>
    <row r="577" ht="15.75" customHeight="1">
      <c r="I577" s="137"/>
      <c r="J577" s="137"/>
    </row>
    <row r="578" ht="15.75" customHeight="1">
      <c r="I578" s="137"/>
      <c r="J578" s="137"/>
    </row>
    <row r="579" ht="15.75" customHeight="1">
      <c r="I579" s="137"/>
      <c r="J579" s="137"/>
    </row>
    <row r="580" ht="15.75" customHeight="1">
      <c r="I580" s="137"/>
      <c r="J580" s="137"/>
    </row>
    <row r="581" ht="15.75" customHeight="1">
      <c r="I581" s="137"/>
      <c r="J581" s="137"/>
    </row>
    <row r="582" ht="15.75" customHeight="1">
      <c r="I582" s="137"/>
      <c r="J582" s="137"/>
    </row>
    <row r="583" ht="15.75" customHeight="1">
      <c r="I583" s="137"/>
      <c r="J583" s="137"/>
    </row>
    <row r="584" ht="15.75" customHeight="1">
      <c r="I584" s="137"/>
      <c r="J584" s="137"/>
    </row>
    <row r="585" ht="15.75" customHeight="1">
      <c r="I585" s="137"/>
      <c r="J585" s="137"/>
    </row>
    <row r="586" ht="15.75" customHeight="1">
      <c r="I586" s="137"/>
      <c r="J586" s="137"/>
    </row>
    <row r="587" ht="15.75" customHeight="1">
      <c r="I587" s="137"/>
      <c r="J587" s="137"/>
    </row>
    <row r="588" ht="15.75" customHeight="1">
      <c r="I588" s="137"/>
      <c r="J588" s="137"/>
    </row>
    <row r="589" ht="15.75" customHeight="1">
      <c r="I589" s="137"/>
      <c r="J589" s="137"/>
    </row>
    <row r="590" ht="15.75" customHeight="1">
      <c r="I590" s="137"/>
      <c r="J590" s="137"/>
    </row>
    <row r="591" ht="15.75" customHeight="1">
      <c r="I591" s="137"/>
      <c r="J591" s="137"/>
    </row>
    <row r="592" ht="15.75" customHeight="1">
      <c r="I592" s="137"/>
      <c r="J592" s="137"/>
    </row>
    <row r="593" ht="15.75" customHeight="1">
      <c r="I593" s="137"/>
      <c r="J593" s="137"/>
    </row>
    <row r="594" ht="15.75" customHeight="1">
      <c r="I594" s="137"/>
      <c r="J594" s="137"/>
    </row>
    <row r="595" ht="15.75" customHeight="1">
      <c r="I595" s="137"/>
      <c r="J595" s="137"/>
    </row>
    <row r="596" ht="15.75" customHeight="1">
      <c r="I596" s="137"/>
      <c r="J596" s="137"/>
    </row>
    <row r="597" ht="15.75" customHeight="1">
      <c r="I597" s="137"/>
      <c r="J597" s="137"/>
    </row>
    <row r="598" ht="15.75" customHeight="1">
      <c r="I598" s="137"/>
      <c r="J598" s="137"/>
    </row>
    <row r="599" ht="15.75" customHeight="1">
      <c r="I599" s="137"/>
      <c r="J599" s="137"/>
    </row>
    <row r="600" ht="15.75" customHeight="1">
      <c r="I600" s="137"/>
      <c r="J600" s="137"/>
    </row>
    <row r="601" ht="15.75" customHeight="1">
      <c r="I601" s="137"/>
      <c r="J601" s="137"/>
    </row>
    <row r="602" ht="15.75" customHeight="1">
      <c r="I602" s="137"/>
      <c r="J602" s="137"/>
    </row>
    <row r="603" ht="15.75" customHeight="1">
      <c r="I603" s="137"/>
      <c r="J603" s="137"/>
    </row>
    <row r="604" ht="15.75" customHeight="1">
      <c r="I604" s="137"/>
      <c r="J604" s="137"/>
    </row>
    <row r="605" ht="15.75" customHeight="1">
      <c r="I605" s="137"/>
      <c r="J605" s="137"/>
    </row>
    <row r="606" ht="15.75" customHeight="1">
      <c r="I606" s="137"/>
      <c r="J606" s="137"/>
    </row>
    <row r="607" ht="15.75" customHeight="1">
      <c r="I607" s="137"/>
      <c r="J607" s="137"/>
    </row>
    <row r="608" ht="15.75" customHeight="1">
      <c r="I608" s="137"/>
      <c r="J608" s="137"/>
    </row>
    <row r="609" ht="15.75" customHeight="1">
      <c r="I609" s="137"/>
      <c r="J609" s="137"/>
    </row>
    <row r="610" ht="15.75" customHeight="1">
      <c r="I610" s="137"/>
      <c r="J610" s="137"/>
    </row>
    <row r="611" ht="15.75" customHeight="1">
      <c r="I611" s="137"/>
      <c r="J611" s="137"/>
    </row>
    <row r="612" ht="15.75" customHeight="1">
      <c r="I612" s="137"/>
      <c r="J612" s="137"/>
    </row>
    <row r="613" ht="15.75" customHeight="1">
      <c r="I613" s="137"/>
      <c r="J613" s="137"/>
    </row>
    <row r="614" ht="15.75" customHeight="1">
      <c r="I614" s="137"/>
      <c r="J614" s="137"/>
    </row>
    <row r="615" ht="15.75" customHeight="1">
      <c r="I615" s="137"/>
      <c r="J615" s="137"/>
    </row>
    <row r="616" ht="15.75" customHeight="1">
      <c r="I616" s="137"/>
      <c r="J616" s="137"/>
    </row>
    <row r="617" ht="15.75" customHeight="1">
      <c r="I617" s="137"/>
      <c r="J617" s="137"/>
    </row>
    <row r="618" ht="15.75" customHeight="1">
      <c r="I618" s="137"/>
      <c r="J618" s="137"/>
    </row>
    <row r="619" ht="15.75" customHeight="1">
      <c r="I619" s="137"/>
      <c r="J619" s="137"/>
    </row>
    <row r="620" ht="15.75" customHeight="1">
      <c r="I620" s="137"/>
      <c r="J620" s="137"/>
    </row>
    <row r="621" ht="15.75" customHeight="1">
      <c r="I621" s="137"/>
      <c r="J621" s="137"/>
    </row>
    <row r="622" ht="15.75" customHeight="1">
      <c r="I622" s="137"/>
      <c r="J622" s="137"/>
    </row>
    <row r="623" ht="15.75" customHeight="1">
      <c r="I623" s="137"/>
      <c r="J623" s="137"/>
    </row>
    <row r="624" ht="15.75" customHeight="1">
      <c r="I624" s="137"/>
      <c r="J624" s="137"/>
    </row>
    <row r="625" ht="15.75" customHeight="1">
      <c r="I625" s="137"/>
      <c r="J625" s="137"/>
    </row>
    <row r="626" ht="15.75" customHeight="1">
      <c r="I626" s="137"/>
      <c r="J626" s="137"/>
    </row>
    <row r="627" ht="15.75" customHeight="1">
      <c r="I627" s="137"/>
      <c r="J627" s="137"/>
    </row>
    <row r="628" ht="15.75" customHeight="1">
      <c r="I628" s="137"/>
      <c r="J628" s="137"/>
    </row>
    <row r="629" ht="15.75" customHeight="1">
      <c r="I629" s="137"/>
      <c r="J629" s="137"/>
    </row>
    <row r="630" ht="15.75" customHeight="1">
      <c r="I630" s="137"/>
      <c r="J630" s="137"/>
    </row>
    <row r="631" ht="15.75" customHeight="1">
      <c r="I631" s="137"/>
      <c r="J631" s="137"/>
    </row>
    <row r="632" ht="15.75" customHeight="1">
      <c r="I632" s="137"/>
      <c r="J632" s="137"/>
    </row>
    <row r="633" ht="15.75" customHeight="1">
      <c r="I633" s="137"/>
      <c r="J633" s="137"/>
    </row>
    <row r="634" ht="15.75" customHeight="1">
      <c r="I634" s="137"/>
      <c r="J634" s="137"/>
    </row>
    <row r="635" ht="15.75" customHeight="1">
      <c r="I635" s="137"/>
      <c r="J635" s="137"/>
    </row>
    <row r="636" ht="15.75" customHeight="1">
      <c r="I636" s="137"/>
      <c r="J636" s="137"/>
    </row>
    <row r="637" ht="15.75" customHeight="1">
      <c r="I637" s="137"/>
      <c r="J637" s="137"/>
    </row>
    <row r="638" ht="15.75" customHeight="1">
      <c r="I638" s="137"/>
      <c r="J638" s="137"/>
    </row>
    <row r="639" ht="15.75" customHeight="1">
      <c r="I639" s="137"/>
      <c r="J639" s="137"/>
    </row>
    <row r="640" ht="15.75" customHeight="1">
      <c r="I640" s="137"/>
      <c r="J640" s="137"/>
    </row>
    <row r="641" ht="15.75" customHeight="1">
      <c r="I641" s="137"/>
      <c r="J641" s="137"/>
    </row>
    <row r="642" ht="15.75" customHeight="1">
      <c r="I642" s="137"/>
      <c r="J642" s="137"/>
    </row>
    <row r="643" ht="15.75" customHeight="1">
      <c r="I643" s="137"/>
      <c r="J643" s="137"/>
    </row>
    <row r="644" ht="15.75" customHeight="1">
      <c r="I644" s="137"/>
      <c r="J644" s="137"/>
    </row>
    <row r="645" ht="15.75" customHeight="1">
      <c r="I645" s="137"/>
      <c r="J645" s="137"/>
    </row>
    <row r="646" ht="15.75" customHeight="1">
      <c r="I646" s="137"/>
      <c r="J646" s="137"/>
    </row>
    <row r="647" ht="15.75" customHeight="1">
      <c r="I647" s="137"/>
      <c r="J647" s="137"/>
    </row>
    <row r="648" ht="15.75" customHeight="1">
      <c r="I648" s="137"/>
      <c r="J648" s="137"/>
    </row>
    <row r="649" ht="15.75" customHeight="1">
      <c r="I649" s="137"/>
      <c r="J649" s="137"/>
    </row>
    <row r="650" ht="15.75" customHeight="1">
      <c r="I650" s="137"/>
      <c r="J650" s="137"/>
    </row>
    <row r="651" ht="15.75" customHeight="1">
      <c r="I651" s="137"/>
      <c r="J651" s="137"/>
    </row>
    <row r="652" ht="15.75" customHeight="1">
      <c r="I652" s="137"/>
      <c r="J652" s="137"/>
    </row>
    <row r="653" ht="15.75" customHeight="1">
      <c r="I653" s="137"/>
      <c r="J653" s="137"/>
    </row>
    <row r="654" ht="15.75" customHeight="1">
      <c r="I654" s="137"/>
      <c r="J654" s="137"/>
    </row>
    <row r="655" ht="15.75" customHeight="1">
      <c r="I655" s="137"/>
      <c r="J655" s="137"/>
    </row>
    <row r="656" ht="15.75" customHeight="1">
      <c r="I656" s="137"/>
      <c r="J656" s="137"/>
    </row>
    <row r="657" ht="15.75" customHeight="1">
      <c r="I657" s="137"/>
      <c r="J657" s="137"/>
    </row>
    <row r="658" ht="15.75" customHeight="1">
      <c r="I658" s="137"/>
      <c r="J658" s="137"/>
    </row>
    <row r="659" ht="15.75" customHeight="1">
      <c r="I659" s="137"/>
      <c r="J659" s="137"/>
    </row>
    <row r="660" ht="15.75" customHeight="1">
      <c r="I660" s="137"/>
      <c r="J660" s="137"/>
    </row>
    <row r="661" ht="15.75" customHeight="1">
      <c r="I661" s="137"/>
      <c r="J661" s="137"/>
    </row>
    <row r="662" ht="15.75" customHeight="1">
      <c r="I662" s="137"/>
      <c r="J662" s="137"/>
    </row>
    <row r="663" ht="15.75" customHeight="1">
      <c r="I663" s="137"/>
      <c r="J663" s="137"/>
    </row>
    <row r="664" ht="15.75" customHeight="1">
      <c r="I664" s="137"/>
      <c r="J664" s="137"/>
    </row>
    <row r="665" ht="15.75" customHeight="1">
      <c r="I665" s="137"/>
      <c r="J665" s="137"/>
    </row>
    <row r="666" ht="15.75" customHeight="1">
      <c r="I666" s="137"/>
      <c r="J666" s="137"/>
    </row>
    <row r="667" ht="15.75" customHeight="1">
      <c r="I667" s="137"/>
      <c r="J667" s="137"/>
    </row>
    <row r="668" ht="15.75" customHeight="1">
      <c r="I668" s="137"/>
      <c r="J668" s="137"/>
    </row>
    <row r="669" ht="15.75" customHeight="1">
      <c r="I669" s="137"/>
      <c r="J669" s="137"/>
    </row>
    <row r="670" ht="15.75" customHeight="1">
      <c r="I670" s="137"/>
      <c r="J670" s="137"/>
    </row>
    <row r="671" ht="15.75" customHeight="1">
      <c r="I671" s="137"/>
      <c r="J671" s="137"/>
    </row>
    <row r="672" ht="15.75" customHeight="1">
      <c r="I672" s="137"/>
      <c r="J672" s="137"/>
    </row>
    <row r="673" ht="15.75" customHeight="1">
      <c r="I673" s="137"/>
      <c r="J673" s="137"/>
    </row>
    <row r="674" ht="15.75" customHeight="1">
      <c r="I674" s="137"/>
      <c r="J674" s="137"/>
    </row>
    <row r="675" ht="15.75" customHeight="1">
      <c r="I675" s="137"/>
      <c r="J675" s="137"/>
    </row>
    <row r="676" ht="15.75" customHeight="1">
      <c r="I676" s="137"/>
      <c r="J676" s="137"/>
    </row>
    <row r="677" ht="15.75" customHeight="1">
      <c r="I677" s="137"/>
      <c r="J677" s="137"/>
    </row>
    <row r="678" ht="15.75" customHeight="1">
      <c r="I678" s="137"/>
      <c r="J678" s="137"/>
    </row>
    <row r="679" ht="15.75" customHeight="1">
      <c r="I679" s="137"/>
      <c r="J679" s="137"/>
    </row>
    <row r="680" ht="15.75" customHeight="1">
      <c r="I680" s="137"/>
      <c r="J680" s="137"/>
    </row>
    <row r="681" ht="15.75" customHeight="1">
      <c r="I681" s="137"/>
      <c r="J681" s="137"/>
    </row>
    <row r="682" ht="15.75" customHeight="1">
      <c r="I682" s="137"/>
      <c r="J682" s="137"/>
    </row>
    <row r="683" ht="15.75" customHeight="1">
      <c r="I683" s="137"/>
      <c r="J683" s="137"/>
    </row>
    <row r="684" ht="15.75" customHeight="1">
      <c r="I684" s="137"/>
      <c r="J684" s="137"/>
    </row>
    <row r="685" ht="15.75" customHeight="1">
      <c r="I685" s="137"/>
      <c r="J685" s="137"/>
    </row>
    <row r="686" ht="15.75" customHeight="1">
      <c r="I686" s="137"/>
      <c r="J686" s="137"/>
    </row>
    <row r="687" ht="15.75" customHeight="1">
      <c r="I687" s="137"/>
      <c r="J687" s="137"/>
    </row>
    <row r="688" ht="15.75" customHeight="1">
      <c r="I688" s="137"/>
      <c r="J688" s="137"/>
    </row>
    <row r="689" ht="15.75" customHeight="1">
      <c r="I689" s="137"/>
      <c r="J689" s="137"/>
    </row>
    <row r="690" ht="15.75" customHeight="1">
      <c r="I690" s="137"/>
      <c r="J690" s="137"/>
    </row>
    <row r="691" ht="15.75" customHeight="1">
      <c r="I691" s="137"/>
      <c r="J691" s="137"/>
    </row>
    <row r="692" ht="15.75" customHeight="1">
      <c r="I692" s="137"/>
      <c r="J692" s="137"/>
    </row>
    <row r="693" ht="15.75" customHeight="1">
      <c r="I693" s="137"/>
      <c r="J693" s="137"/>
    </row>
    <row r="694" ht="15.75" customHeight="1">
      <c r="I694" s="137"/>
      <c r="J694" s="137"/>
    </row>
    <row r="695" ht="15.75" customHeight="1">
      <c r="I695" s="137"/>
      <c r="J695" s="137"/>
    </row>
    <row r="696" ht="15.75" customHeight="1">
      <c r="I696" s="137"/>
      <c r="J696" s="137"/>
    </row>
    <row r="697" ht="15.75" customHeight="1">
      <c r="I697" s="137"/>
      <c r="J697" s="137"/>
    </row>
    <row r="698" ht="15.75" customHeight="1">
      <c r="I698" s="137"/>
      <c r="J698" s="137"/>
    </row>
    <row r="699" ht="15.75" customHeight="1">
      <c r="I699" s="137"/>
      <c r="J699" s="137"/>
    </row>
    <row r="700" ht="15.75" customHeight="1">
      <c r="I700" s="137"/>
      <c r="J700" s="137"/>
    </row>
    <row r="701" ht="15.75" customHeight="1">
      <c r="I701" s="137"/>
      <c r="J701" s="137"/>
    </row>
    <row r="702" ht="15.75" customHeight="1">
      <c r="I702" s="137"/>
      <c r="J702" s="137"/>
    </row>
    <row r="703" ht="15.75" customHeight="1">
      <c r="I703" s="137"/>
      <c r="J703" s="137"/>
    </row>
    <row r="704" ht="15.75" customHeight="1">
      <c r="I704" s="137"/>
      <c r="J704" s="137"/>
    </row>
    <row r="705" ht="15.75" customHeight="1">
      <c r="I705" s="137"/>
      <c r="J705" s="137"/>
    </row>
    <row r="706" ht="15.75" customHeight="1">
      <c r="I706" s="137"/>
      <c r="J706" s="137"/>
    </row>
    <row r="707" ht="15.75" customHeight="1">
      <c r="I707" s="137"/>
      <c r="J707" s="137"/>
    </row>
    <row r="708" ht="15.75" customHeight="1">
      <c r="I708" s="137"/>
      <c r="J708" s="137"/>
    </row>
    <row r="709" ht="15.75" customHeight="1">
      <c r="I709" s="137"/>
      <c r="J709" s="137"/>
    </row>
    <row r="710" ht="15.75" customHeight="1">
      <c r="I710" s="137"/>
      <c r="J710" s="137"/>
    </row>
    <row r="711" ht="15.75" customHeight="1">
      <c r="I711" s="137"/>
      <c r="J711" s="137"/>
    </row>
    <row r="712" ht="15.75" customHeight="1">
      <c r="I712" s="137"/>
      <c r="J712" s="137"/>
    </row>
    <row r="713" ht="15.75" customHeight="1">
      <c r="I713" s="137"/>
      <c r="J713" s="137"/>
    </row>
    <row r="714" ht="15.75" customHeight="1">
      <c r="I714" s="137"/>
      <c r="J714" s="137"/>
    </row>
    <row r="715" ht="15.75" customHeight="1">
      <c r="I715" s="137"/>
      <c r="J715" s="137"/>
    </row>
    <row r="716" ht="15.75" customHeight="1">
      <c r="I716" s="137"/>
      <c r="J716" s="137"/>
    </row>
    <row r="717" ht="15.75" customHeight="1">
      <c r="I717" s="137"/>
      <c r="J717" s="137"/>
    </row>
    <row r="718" ht="15.75" customHeight="1">
      <c r="I718" s="137"/>
      <c r="J718" s="137"/>
    </row>
    <row r="719" ht="15.75" customHeight="1">
      <c r="I719" s="137"/>
      <c r="J719" s="137"/>
    </row>
    <row r="720" ht="15.75" customHeight="1">
      <c r="I720" s="137"/>
      <c r="J720" s="137"/>
    </row>
    <row r="721" ht="15.75" customHeight="1">
      <c r="I721" s="137"/>
      <c r="J721" s="137"/>
    </row>
    <row r="722" ht="15.75" customHeight="1">
      <c r="I722" s="137"/>
      <c r="J722" s="137"/>
    </row>
    <row r="723" ht="15.75" customHeight="1">
      <c r="I723" s="137"/>
      <c r="J723" s="137"/>
    </row>
    <row r="724" ht="15.75" customHeight="1">
      <c r="I724" s="137"/>
      <c r="J724" s="137"/>
    </row>
    <row r="725" ht="15.75" customHeight="1">
      <c r="I725" s="137"/>
      <c r="J725" s="137"/>
    </row>
    <row r="726" ht="15.75" customHeight="1">
      <c r="I726" s="137"/>
      <c r="J726" s="137"/>
    </row>
    <row r="727" ht="15.75" customHeight="1">
      <c r="I727" s="137"/>
      <c r="J727" s="137"/>
    </row>
    <row r="728" ht="15.75" customHeight="1">
      <c r="I728" s="137"/>
      <c r="J728" s="137"/>
    </row>
    <row r="729" ht="15.75" customHeight="1">
      <c r="I729" s="137"/>
      <c r="J729" s="137"/>
    </row>
    <row r="730" ht="15.75" customHeight="1">
      <c r="I730" s="137"/>
      <c r="J730" s="137"/>
    </row>
    <row r="731" ht="15.75" customHeight="1">
      <c r="I731" s="137"/>
      <c r="J731" s="137"/>
    </row>
    <row r="732" ht="15.75" customHeight="1">
      <c r="I732" s="137"/>
      <c r="J732" s="137"/>
    </row>
    <row r="733" ht="15.75" customHeight="1">
      <c r="I733" s="137"/>
      <c r="J733" s="137"/>
    </row>
    <row r="734" ht="15.75" customHeight="1">
      <c r="I734" s="137"/>
      <c r="J734" s="137"/>
    </row>
    <row r="735" ht="15.75" customHeight="1">
      <c r="I735" s="137"/>
      <c r="J735" s="137"/>
    </row>
    <row r="736" ht="15.75" customHeight="1">
      <c r="I736" s="137"/>
      <c r="J736" s="137"/>
    </row>
    <row r="737" ht="15.75" customHeight="1">
      <c r="I737" s="137"/>
      <c r="J737" s="137"/>
    </row>
    <row r="738" ht="15.75" customHeight="1">
      <c r="I738" s="137"/>
      <c r="J738" s="137"/>
    </row>
    <row r="739" ht="15.75" customHeight="1">
      <c r="I739" s="137"/>
      <c r="J739" s="137"/>
    </row>
    <row r="740" ht="15.75" customHeight="1">
      <c r="I740" s="137"/>
      <c r="J740" s="137"/>
    </row>
    <row r="741" ht="15.75" customHeight="1">
      <c r="I741" s="137"/>
      <c r="J741" s="137"/>
    </row>
    <row r="742" ht="15.75" customHeight="1">
      <c r="I742" s="137"/>
      <c r="J742" s="137"/>
    </row>
    <row r="743" ht="15.75" customHeight="1">
      <c r="I743" s="137"/>
      <c r="J743" s="137"/>
    </row>
    <row r="744" ht="15.75" customHeight="1">
      <c r="I744" s="137"/>
      <c r="J744" s="137"/>
    </row>
    <row r="745" ht="15.75" customHeight="1">
      <c r="I745" s="137"/>
      <c r="J745" s="137"/>
    </row>
    <row r="746" ht="15.75" customHeight="1">
      <c r="I746" s="137"/>
      <c r="J746" s="137"/>
    </row>
    <row r="747" ht="15.75" customHeight="1">
      <c r="I747" s="137"/>
      <c r="J747" s="137"/>
    </row>
    <row r="748" ht="15.75" customHeight="1">
      <c r="I748" s="137"/>
      <c r="J748" s="137"/>
    </row>
    <row r="749" ht="15.75" customHeight="1">
      <c r="I749" s="137"/>
      <c r="J749" s="137"/>
    </row>
    <row r="750" ht="15.75" customHeight="1">
      <c r="I750" s="137"/>
      <c r="J750" s="137"/>
    </row>
    <row r="751" ht="15.75" customHeight="1">
      <c r="I751" s="137"/>
      <c r="J751" s="137"/>
    </row>
    <row r="752" ht="15.75" customHeight="1">
      <c r="I752" s="137"/>
      <c r="J752" s="137"/>
    </row>
    <row r="753" ht="15.75" customHeight="1">
      <c r="I753" s="137"/>
      <c r="J753" s="137"/>
    </row>
    <row r="754" ht="15.75" customHeight="1">
      <c r="I754" s="137"/>
      <c r="J754" s="137"/>
    </row>
    <row r="755" ht="15.75" customHeight="1">
      <c r="I755" s="137"/>
      <c r="J755" s="137"/>
    </row>
    <row r="756" ht="15.75" customHeight="1">
      <c r="I756" s="137"/>
      <c r="J756" s="137"/>
    </row>
    <row r="757" ht="15.75" customHeight="1">
      <c r="I757" s="137"/>
      <c r="J757" s="137"/>
    </row>
    <row r="758" ht="15.75" customHeight="1">
      <c r="I758" s="137"/>
      <c r="J758" s="137"/>
    </row>
    <row r="759" ht="15.75" customHeight="1">
      <c r="I759" s="137"/>
      <c r="J759" s="137"/>
    </row>
    <row r="760" ht="15.75" customHeight="1">
      <c r="I760" s="137"/>
      <c r="J760" s="137"/>
    </row>
    <row r="761" ht="15.75" customHeight="1">
      <c r="I761" s="137"/>
      <c r="J761" s="137"/>
    </row>
    <row r="762" ht="15.75" customHeight="1">
      <c r="I762" s="137"/>
      <c r="J762" s="137"/>
    </row>
    <row r="763" ht="15.75" customHeight="1">
      <c r="I763" s="137"/>
      <c r="J763" s="137"/>
    </row>
    <row r="764" ht="15.75" customHeight="1">
      <c r="I764" s="137"/>
      <c r="J764" s="137"/>
    </row>
    <row r="765" ht="15.75" customHeight="1">
      <c r="I765" s="137"/>
      <c r="J765" s="137"/>
    </row>
    <row r="766" ht="15.75" customHeight="1">
      <c r="I766" s="137"/>
      <c r="J766" s="137"/>
    </row>
    <row r="767" ht="15.75" customHeight="1">
      <c r="I767" s="137"/>
      <c r="J767" s="137"/>
    </row>
    <row r="768" ht="15.75" customHeight="1">
      <c r="I768" s="137"/>
      <c r="J768" s="137"/>
    </row>
    <row r="769" ht="15.75" customHeight="1">
      <c r="I769" s="137"/>
      <c r="J769" s="137"/>
    </row>
    <row r="770" ht="15.75" customHeight="1">
      <c r="I770" s="137"/>
      <c r="J770" s="137"/>
    </row>
    <row r="771" ht="15.75" customHeight="1">
      <c r="I771" s="137"/>
      <c r="J771" s="137"/>
    </row>
    <row r="772" ht="15.75" customHeight="1">
      <c r="I772" s="137"/>
      <c r="J772" s="137"/>
    </row>
    <row r="773" ht="15.75" customHeight="1">
      <c r="I773" s="137"/>
      <c r="J773" s="137"/>
    </row>
    <row r="774" ht="15.75" customHeight="1">
      <c r="I774" s="137"/>
      <c r="J774" s="137"/>
    </row>
    <row r="775" ht="15.75" customHeight="1">
      <c r="I775" s="137"/>
      <c r="J775" s="137"/>
    </row>
    <row r="776" ht="15.75" customHeight="1">
      <c r="I776" s="137"/>
      <c r="J776" s="137"/>
    </row>
    <row r="777" ht="15.75" customHeight="1">
      <c r="I777" s="137"/>
      <c r="J777" s="137"/>
    </row>
    <row r="778" ht="15.75" customHeight="1">
      <c r="I778" s="137"/>
      <c r="J778" s="137"/>
    </row>
    <row r="779" ht="15.75" customHeight="1">
      <c r="I779" s="137"/>
      <c r="J779" s="137"/>
    </row>
    <row r="780" ht="15.75" customHeight="1">
      <c r="I780" s="137"/>
      <c r="J780" s="137"/>
    </row>
    <row r="781" ht="15.75" customHeight="1">
      <c r="I781" s="137"/>
      <c r="J781" s="137"/>
    </row>
    <row r="782" ht="15.75" customHeight="1">
      <c r="I782" s="137"/>
      <c r="J782" s="137"/>
    </row>
    <row r="783" ht="15.75" customHeight="1">
      <c r="I783" s="137"/>
      <c r="J783" s="137"/>
    </row>
    <row r="784" ht="15.75" customHeight="1">
      <c r="I784" s="137"/>
      <c r="J784" s="137"/>
    </row>
    <row r="785" ht="15.75" customHeight="1">
      <c r="I785" s="137"/>
      <c r="J785" s="137"/>
    </row>
    <row r="786" ht="15.75" customHeight="1">
      <c r="I786" s="137"/>
      <c r="J786" s="137"/>
    </row>
    <row r="787" ht="15.75" customHeight="1">
      <c r="I787" s="137"/>
      <c r="J787" s="137"/>
    </row>
    <row r="788" ht="15.75" customHeight="1">
      <c r="I788" s="137"/>
      <c r="J788" s="137"/>
    </row>
    <row r="789" ht="15.75" customHeight="1">
      <c r="I789" s="137"/>
      <c r="J789" s="137"/>
    </row>
    <row r="790" ht="15.75" customHeight="1">
      <c r="I790" s="137"/>
      <c r="J790" s="137"/>
    </row>
    <row r="791" ht="15.75" customHeight="1">
      <c r="I791" s="137"/>
      <c r="J791" s="137"/>
    </row>
    <row r="792" ht="15.75" customHeight="1">
      <c r="I792" s="137"/>
      <c r="J792" s="137"/>
    </row>
    <row r="793" ht="15.75" customHeight="1">
      <c r="I793" s="137"/>
      <c r="J793" s="137"/>
    </row>
    <row r="794" ht="15.75" customHeight="1">
      <c r="I794" s="137"/>
      <c r="J794" s="137"/>
    </row>
    <row r="795" ht="15.75" customHeight="1">
      <c r="I795" s="137"/>
      <c r="J795" s="137"/>
    </row>
    <row r="796" ht="15.75" customHeight="1">
      <c r="I796" s="137"/>
      <c r="J796" s="137"/>
    </row>
    <row r="797" ht="15.75" customHeight="1">
      <c r="I797" s="137"/>
      <c r="J797" s="137"/>
    </row>
    <row r="798" ht="15.75" customHeight="1">
      <c r="I798" s="137"/>
      <c r="J798" s="137"/>
    </row>
    <row r="799" ht="15.75" customHeight="1">
      <c r="I799" s="137"/>
      <c r="J799" s="137"/>
    </row>
    <row r="800" ht="15.75" customHeight="1">
      <c r="I800" s="137"/>
      <c r="J800" s="137"/>
    </row>
    <row r="801" ht="15.75" customHeight="1">
      <c r="I801" s="137"/>
      <c r="J801" s="137"/>
    </row>
    <row r="802" ht="15.75" customHeight="1">
      <c r="I802" s="137"/>
      <c r="J802" s="137"/>
    </row>
    <row r="803" ht="15.75" customHeight="1">
      <c r="I803" s="137"/>
      <c r="J803" s="137"/>
    </row>
    <row r="804" ht="15.75" customHeight="1">
      <c r="I804" s="137"/>
      <c r="J804" s="137"/>
    </row>
    <row r="805" ht="15.75" customHeight="1">
      <c r="I805" s="137"/>
      <c r="J805" s="137"/>
    </row>
    <row r="806" ht="15.75" customHeight="1">
      <c r="I806" s="137"/>
      <c r="J806" s="137"/>
    </row>
    <row r="807" ht="15.75" customHeight="1">
      <c r="I807" s="137"/>
      <c r="J807" s="137"/>
    </row>
    <row r="808" ht="15.75" customHeight="1">
      <c r="I808" s="137"/>
      <c r="J808" s="137"/>
    </row>
    <row r="809" ht="15.75" customHeight="1">
      <c r="I809" s="137"/>
      <c r="J809" s="137"/>
    </row>
    <row r="810" ht="15.75" customHeight="1">
      <c r="I810" s="137"/>
      <c r="J810" s="137"/>
    </row>
    <row r="811" ht="15.75" customHeight="1">
      <c r="I811" s="137"/>
      <c r="J811" s="137"/>
    </row>
    <row r="812" ht="15.75" customHeight="1">
      <c r="I812" s="137"/>
      <c r="J812" s="137"/>
    </row>
    <row r="813" ht="15.75" customHeight="1">
      <c r="I813" s="137"/>
      <c r="J813" s="137"/>
    </row>
    <row r="814" ht="15.75" customHeight="1">
      <c r="I814" s="137"/>
      <c r="J814" s="137"/>
    </row>
    <row r="815" ht="15.75" customHeight="1">
      <c r="I815" s="137"/>
      <c r="J815" s="137"/>
    </row>
    <row r="816" ht="15.75" customHeight="1">
      <c r="I816" s="137"/>
      <c r="J816" s="137"/>
    </row>
    <row r="817" ht="15.75" customHeight="1">
      <c r="I817" s="137"/>
      <c r="J817" s="137"/>
    </row>
    <row r="818" ht="15.75" customHeight="1">
      <c r="I818" s="137"/>
      <c r="J818" s="137"/>
    </row>
    <row r="819" ht="15.75" customHeight="1">
      <c r="I819" s="137"/>
      <c r="J819" s="137"/>
    </row>
    <row r="820" ht="15.75" customHeight="1">
      <c r="I820" s="137"/>
      <c r="J820" s="137"/>
    </row>
    <row r="821" ht="15.75" customHeight="1">
      <c r="I821" s="137"/>
      <c r="J821" s="137"/>
    </row>
    <row r="822" ht="15.75" customHeight="1">
      <c r="I822" s="137"/>
      <c r="J822" s="137"/>
    </row>
    <row r="823" ht="15.75" customHeight="1">
      <c r="I823" s="137"/>
      <c r="J823" s="137"/>
    </row>
    <row r="824" ht="15.75" customHeight="1">
      <c r="I824" s="137"/>
      <c r="J824" s="137"/>
    </row>
    <row r="825" ht="15.75" customHeight="1">
      <c r="I825" s="137"/>
      <c r="J825" s="137"/>
    </row>
    <row r="826" ht="15.75" customHeight="1">
      <c r="I826" s="137"/>
      <c r="J826" s="137"/>
    </row>
    <row r="827" ht="15.75" customHeight="1">
      <c r="I827" s="137"/>
      <c r="J827" s="137"/>
    </row>
    <row r="828" ht="15.75" customHeight="1">
      <c r="I828" s="137"/>
      <c r="J828" s="137"/>
    </row>
    <row r="829" ht="15.75" customHeight="1">
      <c r="I829" s="137"/>
      <c r="J829" s="137"/>
    </row>
    <row r="830" ht="15.75" customHeight="1">
      <c r="I830" s="137"/>
      <c r="J830" s="137"/>
    </row>
    <row r="831" ht="15.75" customHeight="1">
      <c r="I831" s="137"/>
      <c r="J831" s="137"/>
    </row>
    <row r="832" ht="15.75" customHeight="1">
      <c r="I832" s="137"/>
      <c r="J832" s="137"/>
    </row>
    <row r="833" ht="15.75" customHeight="1">
      <c r="I833" s="137"/>
      <c r="J833" s="137"/>
    </row>
    <row r="834" ht="15.75" customHeight="1">
      <c r="I834" s="137"/>
      <c r="J834" s="137"/>
    </row>
    <row r="835" ht="15.75" customHeight="1">
      <c r="I835" s="137"/>
      <c r="J835" s="137"/>
    </row>
    <row r="836" ht="15.75" customHeight="1">
      <c r="I836" s="137"/>
      <c r="J836" s="137"/>
    </row>
    <row r="837" ht="15.75" customHeight="1">
      <c r="I837" s="137"/>
      <c r="J837" s="137"/>
    </row>
    <row r="838" ht="15.75" customHeight="1">
      <c r="I838" s="137"/>
      <c r="J838" s="137"/>
    </row>
    <row r="839" ht="15.75" customHeight="1">
      <c r="I839" s="137"/>
      <c r="J839" s="137"/>
    </row>
    <row r="840" ht="15.75" customHeight="1">
      <c r="I840" s="137"/>
      <c r="J840" s="137"/>
    </row>
    <row r="841" ht="15.75" customHeight="1">
      <c r="I841" s="137"/>
      <c r="J841" s="137"/>
    </row>
    <row r="842" ht="15.75" customHeight="1">
      <c r="I842" s="137"/>
      <c r="J842" s="137"/>
    </row>
    <row r="843" ht="15.75" customHeight="1">
      <c r="I843" s="137"/>
      <c r="J843" s="137"/>
    </row>
    <row r="844" ht="15.75" customHeight="1">
      <c r="I844" s="137"/>
      <c r="J844" s="137"/>
    </row>
    <row r="845" ht="15.75" customHeight="1">
      <c r="I845" s="137"/>
      <c r="J845" s="137"/>
    </row>
    <row r="846" ht="15.75" customHeight="1">
      <c r="I846" s="137"/>
      <c r="J846" s="137"/>
    </row>
    <row r="847" ht="15.75" customHeight="1">
      <c r="I847" s="137"/>
      <c r="J847" s="137"/>
    </row>
    <row r="848" ht="15.75" customHeight="1">
      <c r="I848" s="137"/>
      <c r="J848" s="137"/>
    </row>
    <row r="849" ht="15.75" customHeight="1">
      <c r="I849" s="137"/>
      <c r="J849" s="137"/>
    </row>
    <row r="850" ht="15.75" customHeight="1">
      <c r="I850" s="137"/>
      <c r="J850" s="137"/>
    </row>
    <row r="851" ht="15.75" customHeight="1">
      <c r="I851" s="137"/>
      <c r="J851" s="137"/>
    </row>
    <row r="852" ht="15.75" customHeight="1">
      <c r="I852" s="137"/>
      <c r="J852" s="137"/>
    </row>
    <row r="853" ht="15.75" customHeight="1">
      <c r="I853" s="137"/>
      <c r="J853" s="137"/>
    </row>
    <row r="854" ht="15.75" customHeight="1">
      <c r="I854" s="137"/>
      <c r="J854" s="137"/>
    </row>
    <row r="855" ht="15.75" customHeight="1">
      <c r="I855" s="137"/>
      <c r="J855" s="137"/>
    </row>
    <row r="856" ht="15.75" customHeight="1">
      <c r="I856" s="137"/>
      <c r="J856" s="137"/>
    </row>
    <row r="857" ht="15.75" customHeight="1">
      <c r="I857" s="137"/>
      <c r="J857" s="137"/>
    </row>
    <row r="858" ht="15.75" customHeight="1">
      <c r="I858" s="137"/>
      <c r="J858" s="137"/>
    </row>
    <row r="859" ht="15.75" customHeight="1">
      <c r="I859" s="137"/>
      <c r="J859" s="137"/>
    </row>
    <row r="860" ht="15.75" customHeight="1">
      <c r="I860" s="137"/>
      <c r="J860" s="137"/>
    </row>
    <row r="861" ht="15.75" customHeight="1">
      <c r="I861" s="137"/>
      <c r="J861" s="137"/>
    </row>
    <row r="862" ht="15.75" customHeight="1">
      <c r="I862" s="137"/>
      <c r="J862" s="137"/>
    </row>
    <row r="863" ht="15.75" customHeight="1">
      <c r="I863" s="137"/>
      <c r="J863" s="137"/>
    </row>
    <row r="864" ht="15.75" customHeight="1">
      <c r="I864" s="137"/>
      <c r="J864" s="137"/>
    </row>
    <row r="865" ht="15.75" customHeight="1">
      <c r="I865" s="137"/>
      <c r="J865" s="137"/>
    </row>
    <row r="866" ht="15.75" customHeight="1">
      <c r="I866" s="137"/>
      <c r="J866" s="137"/>
    </row>
    <row r="867" ht="15.75" customHeight="1">
      <c r="I867" s="137"/>
      <c r="J867" s="137"/>
    </row>
    <row r="868" ht="15.75" customHeight="1">
      <c r="I868" s="137"/>
      <c r="J868" s="137"/>
    </row>
    <row r="869" ht="15.75" customHeight="1">
      <c r="I869" s="137"/>
      <c r="J869" s="137"/>
    </row>
    <row r="870" ht="15.75" customHeight="1">
      <c r="I870" s="137"/>
      <c r="J870" s="137"/>
    </row>
    <row r="871" ht="15.75" customHeight="1">
      <c r="I871" s="137"/>
      <c r="J871" s="137"/>
    </row>
    <row r="872" ht="15.75" customHeight="1">
      <c r="I872" s="137"/>
      <c r="J872" s="137"/>
    </row>
    <row r="873" ht="15.75" customHeight="1">
      <c r="I873" s="137"/>
      <c r="J873" s="137"/>
    </row>
    <row r="874" ht="15.75" customHeight="1">
      <c r="I874" s="137"/>
      <c r="J874" s="137"/>
    </row>
    <row r="875" ht="15.75" customHeight="1">
      <c r="I875" s="137"/>
      <c r="J875" s="137"/>
    </row>
    <row r="876" ht="15.75" customHeight="1">
      <c r="I876" s="137"/>
      <c r="J876" s="137"/>
    </row>
    <row r="877" ht="15.75" customHeight="1">
      <c r="I877" s="137"/>
      <c r="J877" s="137"/>
    </row>
    <row r="878" ht="15.75" customHeight="1">
      <c r="I878" s="137"/>
      <c r="J878" s="137"/>
    </row>
    <row r="879" ht="15.75" customHeight="1">
      <c r="I879" s="137"/>
      <c r="J879" s="137"/>
    </row>
    <row r="880" ht="15.75" customHeight="1">
      <c r="I880" s="137"/>
      <c r="J880" s="137"/>
    </row>
    <row r="881" ht="15.75" customHeight="1">
      <c r="I881" s="137"/>
      <c r="J881" s="137"/>
    </row>
    <row r="882" ht="15.75" customHeight="1">
      <c r="I882" s="137"/>
      <c r="J882" s="137"/>
    </row>
    <row r="883" ht="15.75" customHeight="1">
      <c r="I883" s="137"/>
      <c r="J883" s="137"/>
    </row>
    <row r="884" ht="15.75" customHeight="1">
      <c r="I884" s="137"/>
      <c r="J884" s="137"/>
    </row>
    <row r="885" ht="15.75" customHeight="1">
      <c r="I885" s="137"/>
      <c r="J885" s="137"/>
    </row>
    <row r="886" ht="15.75" customHeight="1">
      <c r="I886" s="137"/>
      <c r="J886" s="137"/>
    </row>
    <row r="887" ht="15.75" customHeight="1">
      <c r="I887" s="137"/>
      <c r="J887" s="137"/>
    </row>
    <row r="888" ht="15.75" customHeight="1">
      <c r="I888" s="137"/>
      <c r="J888" s="137"/>
    </row>
    <row r="889" ht="15.75" customHeight="1">
      <c r="I889" s="137"/>
      <c r="J889" s="137"/>
    </row>
    <row r="890" ht="15.75" customHeight="1">
      <c r="I890" s="137"/>
      <c r="J890" s="137"/>
    </row>
    <row r="891" ht="15.75" customHeight="1">
      <c r="I891" s="137"/>
      <c r="J891" s="137"/>
    </row>
    <row r="892" ht="15.75" customHeight="1">
      <c r="I892" s="137"/>
      <c r="J892" s="137"/>
    </row>
    <row r="893" ht="15.75" customHeight="1">
      <c r="I893" s="137"/>
      <c r="J893" s="137"/>
    </row>
    <row r="894" ht="15.75" customHeight="1">
      <c r="I894" s="137"/>
      <c r="J894" s="137"/>
    </row>
    <row r="895" ht="15.75" customHeight="1">
      <c r="I895" s="137"/>
      <c r="J895" s="137"/>
    </row>
    <row r="896" ht="15.75" customHeight="1">
      <c r="I896" s="137"/>
      <c r="J896" s="137"/>
    </row>
    <row r="897" ht="15.75" customHeight="1">
      <c r="I897" s="137"/>
      <c r="J897" s="137"/>
    </row>
    <row r="898" ht="15.75" customHeight="1">
      <c r="I898" s="137"/>
      <c r="J898" s="137"/>
    </row>
    <row r="899" ht="15.75" customHeight="1">
      <c r="I899" s="137"/>
      <c r="J899" s="137"/>
    </row>
    <row r="900" ht="15.75" customHeight="1">
      <c r="I900" s="137"/>
      <c r="J900" s="137"/>
    </row>
    <row r="901" ht="15.75" customHeight="1">
      <c r="I901" s="137"/>
      <c r="J901" s="137"/>
    </row>
    <row r="902" ht="15.75" customHeight="1">
      <c r="I902" s="137"/>
      <c r="J902" s="137"/>
    </row>
    <row r="903" ht="15.75" customHeight="1">
      <c r="I903" s="137"/>
      <c r="J903" s="137"/>
    </row>
    <row r="904" ht="15.75" customHeight="1">
      <c r="I904" s="137"/>
      <c r="J904" s="137"/>
    </row>
    <row r="905" ht="15.75" customHeight="1">
      <c r="I905" s="137"/>
      <c r="J905" s="137"/>
    </row>
    <row r="906" ht="15.75" customHeight="1">
      <c r="I906" s="137"/>
      <c r="J906" s="137"/>
    </row>
    <row r="907" ht="15.75" customHeight="1">
      <c r="I907" s="137"/>
      <c r="J907" s="137"/>
    </row>
    <row r="908" ht="15.75" customHeight="1">
      <c r="I908" s="137"/>
      <c r="J908" s="137"/>
    </row>
    <row r="909" ht="15.75" customHeight="1">
      <c r="I909" s="137"/>
      <c r="J909" s="137"/>
    </row>
    <row r="910" ht="15.75" customHeight="1">
      <c r="I910" s="137"/>
      <c r="J910" s="137"/>
    </row>
    <row r="911" ht="15.75" customHeight="1">
      <c r="I911" s="137"/>
      <c r="J911" s="137"/>
    </row>
    <row r="912" ht="15.75" customHeight="1">
      <c r="I912" s="137"/>
      <c r="J912" s="137"/>
    </row>
    <row r="913" ht="15.75" customHeight="1">
      <c r="I913" s="137"/>
      <c r="J913" s="137"/>
    </row>
    <row r="914" ht="15.75" customHeight="1">
      <c r="I914" s="137"/>
      <c r="J914" s="137"/>
    </row>
    <row r="915" ht="15.75" customHeight="1">
      <c r="I915" s="137"/>
      <c r="J915" s="137"/>
    </row>
    <row r="916" ht="15.75" customHeight="1">
      <c r="I916" s="137"/>
      <c r="J916" s="137"/>
    </row>
    <row r="917" ht="15.75" customHeight="1">
      <c r="I917" s="137"/>
      <c r="J917" s="137"/>
    </row>
    <row r="918" ht="15.75" customHeight="1">
      <c r="I918" s="137"/>
      <c r="J918" s="137"/>
    </row>
    <row r="919" ht="15.75" customHeight="1">
      <c r="I919" s="137"/>
      <c r="J919" s="137"/>
    </row>
    <row r="920" ht="15.75" customHeight="1">
      <c r="I920" s="137"/>
      <c r="J920" s="137"/>
    </row>
    <row r="921" ht="15.75" customHeight="1">
      <c r="I921" s="137"/>
      <c r="J921" s="137"/>
    </row>
    <row r="922" ht="15.75" customHeight="1">
      <c r="I922" s="137"/>
      <c r="J922" s="137"/>
    </row>
    <row r="923" ht="15.75" customHeight="1">
      <c r="I923" s="137"/>
      <c r="J923" s="137"/>
    </row>
    <row r="924" ht="15.75" customHeight="1">
      <c r="I924" s="137"/>
      <c r="J924" s="137"/>
    </row>
    <row r="925" ht="15.75" customHeight="1">
      <c r="I925" s="137"/>
      <c r="J925" s="137"/>
    </row>
    <row r="926" ht="15.75" customHeight="1">
      <c r="I926" s="137"/>
      <c r="J926" s="137"/>
    </row>
    <row r="927" ht="15.75" customHeight="1">
      <c r="I927" s="137"/>
      <c r="J927" s="137"/>
    </row>
    <row r="928" ht="15.75" customHeight="1">
      <c r="I928" s="137"/>
      <c r="J928" s="137"/>
    </row>
    <row r="929" ht="15.75" customHeight="1">
      <c r="I929" s="137"/>
      <c r="J929" s="137"/>
    </row>
    <row r="930" ht="15.75" customHeight="1">
      <c r="I930" s="137"/>
      <c r="J930" s="137"/>
    </row>
    <row r="931" ht="15.75" customHeight="1">
      <c r="I931" s="137"/>
      <c r="J931" s="137"/>
    </row>
    <row r="932" ht="15.75" customHeight="1">
      <c r="I932" s="137"/>
      <c r="J932" s="137"/>
    </row>
    <row r="933" ht="15.75" customHeight="1">
      <c r="I933" s="137"/>
      <c r="J933" s="137"/>
    </row>
    <row r="934" ht="15.75" customHeight="1">
      <c r="I934" s="137"/>
      <c r="J934" s="137"/>
    </row>
    <row r="935" ht="15.75" customHeight="1">
      <c r="I935" s="137"/>
      <c r="J935" s="137"/>
    </row>
    <row r="936" ht="15.75" customHeight="1">
      <c r="I936" s="137"/>
      <c r="J936" s="137"/>
    </row>
    <row r="937" ht="15.75" customHeight="1">
      <c r="I937" s="137"/>
      <c r="J937" s="137"/>
    </row>
    <row r="938" ht="15.75" customHeight="1">
      <c r="I938" s="137"/>
      <c r="J938" s="137"/>
    </row>
    <row r="939" ht="15.75" customHeight="1">
      <c r="I939" s="137"/>
      <c r="J939" s="137"/>
    </row>
    <row r="940" ht="15.75" customHeight="1">
      <c r="I940" s="137"/>
      <c r="J940" s="137"/>
    </row>
    <row r="941" ht="15.75" customHeight="1">
      <c r="I941" s="137"/>
      <c r="J941" s="137"/>
    </row>
    <row r="942" ht="15.75" customHeight="1">
      <c r="I942" s="137"/>
      <c r="J942" s="137"/>
    </row>
    <row r="943" ht="15.75" customHeight="1">
      <c r="I943" s="137"/>
      <c r="J943" s="137"/>
    </row>
    <row r="944" ht="15.75" customHeight="1">
      <c r="I944" s="137"/>
      <c r="J944" s="137"/>
    </row>
    <row r="945" ht="15.75" customHeight="1">
      <c r="I945" s="137"/>
      <c r="J945" s="137"/>
    </row>
    <row r="946" ht="15.75" customHeight="1">
      <c r="I946" s="137"/>
      <c r="J946" s="137"/>
    </row>
    <row r="947" ht="15.75" customHeight="1">
      <c r="I947" s="137"/>
      <c r="J947" s="137"/>
    </row>
    <row r="948" ht="15.75" customHeight="1">
      <c r="I948" s="137"/>
      <c r="J948" s="137"/>
    </row>
    <row r="949" ht="15.75" customHeight="1">
      <c r="I949" s="137"/>
      <c r="J949" s="137"/>
    </row>
    <row r="950" ht="15.75" customHeight="1">
      <c r="I950" s="137"/>
      <c r="J950" s="137"/>
    </row>
    <row r="951" ht="15.75" customHeight="1">
      <c r="I951" s="137"/>
      <c r="J951" s="137"/>
    </row>
    <row r="952" ht="15.75" customHeight="1">
      <c r="I952" s="137"/>
      <c r="J952" s="137"/>
    </row>
    <row r="953" ht="15.75" customHeight="1">
      <c r="I953" s="137"/>
      <c r="J953" s="137"/>
    </row>
    <row r="954" ht="15.75" customHeight="1">
      <c r="I954" s="137"/>
      <c r="J954" s="137"/>
    </row>
    <row r="955" ht="15.75" customHeight="1">
      <c r="I955" s="137"/>
      <c r="J955" s="137"/>
    </row>
    <row r="956" ht="15.75" customHeight="1">
      <c r="I956" s="137"/>
      <c r="J956" s="137"/>
    </row>
    <row r="957" ht="15.75" customHeight="1">
      <c r="I957" s="137"/>
      <c r="J957" s="137"/>
    </row>
    <row r="958" ht="15.75" customHeight="1">
      <c r="I958" s="137"/>
      <c r="J958" s="137"/>
    </row>
    <row r="959" ht="15.75" customHeight="1">
      <c r="I959" s="137"/>
      <c r="J959" s="137"/>
    </row>
    <row r="960" ht="15.75" customHeight="1">
      <c r="I960" s="137"/>
      <c r="J960" s="137"/>
    </row>
    <row r="961" ht="15.75" customHeight="1">
      <c r="I961" s="137"/>
      <c r="J961" s="137"/>
    </row>
    <row r="962" ht="15.75" customHeight="1">
      <c r="I962" s="137"/>
      <c r="J962" s="137"/>
    </row>
    <row r="963" ht="15.75" customHeight="1">
      <c r="I963" s="137"/>
      <c r="J963" s="137"/>
    </row>
    <row r="964" ht="15.75" customHeight="1">
      <c r="I964" s="137"/>
      <c r="J964" s="137"/>
    </row>
    <row r="965" ht="15.75" customHeight="1">
      <c r="I965" s="137"/>
      <c r="J965" s="137"/>
    </row>
    <row r="966" ht="15.75" customHeight="1">
      <c r="I966" s="137"/>
      <c r="J966" s="137"/>
    </row>
    <row r="967" ht="15.75" customHeight="1">
      <c r="I967" s="137"/>
      <c r="J967" s="137"/>
    </row>
    <row r="968" ht="15.75" customHeight="1">
      <c r="I968" s="137"/>
      <c r="J968" s="137"/>
    </row>
    <row r="969" ht="15.75" customHeight="1">
      <c r="I969" s="137"/>
      <c r="J969" s="137"/>
    </row>
    <row r="970" ht="15.75" customHeight="1">
      <c r="I970" s="137"/>
      <c r="J970" s="137"/>
    </row>
    <row r="971" ht="15.75" customHeight="1">
      <c r="I971" s="137"/>
      <c r="J971" s="137"/>
    </row>
    <row r="972" ht="15.75" customHeight="1">
      <c r="I972" s="137"/>
      <c r="J972" s="137"/>
    </row>
    <row r="973" ht="15.75" customHeight="1">
      <c r="I973" s="137"/>
      <c r="J973" s="137"/>
    </row>
    <row r="974" ht="15.75" customHeight="1">
      <c r="I974" s="137"/>
      <c r="J974" s="137"/>
    </row>
    <row r="975" ht="15.75" customHeight="1">
      <c r="I975" s="137"/>
      <c r="J975" s="137"/>
    </row>
    <row r="976" ht="15.75" customHeight="1">
      <c r="I976" s="137"/>
      <c r="J976" s="137"/>
    </row>
    <row r="977" ht="15.75" customHeight="1">
      <c r="I977" s="137"/>
      <c r="J977" s="137"/>
    </row>
    <row r="978" ht="15.75" customHeight="1">
      <c r="I978" s="137"/>
      <c r="J978" s="137"/>
    </row>
    <row r="979" ht="15.75" customHeight="1">
      <c r="I979" s="137"/>
      <c r="J979" s="137"/>
    </row>
    <row r="980" ht="15.75" customHeight="1">
      <c r="I980" s="137"/>
      <c r="J980" s="137"/>
    </row>
    <row r="981" ht="15.75" customHeight="1">
      <c r="I981" s="137"/>
      <c r="J981" s="137"/>
    </row>
    <row r="982" ht="15.75" customHeight="1">
      <c r="I982" s="137"/>
      <c r="J982" s="137"/>
    </row>
    <row r="983" ht="15.75" customHeight="1">
      <c r="I983" s="137"/>
      <c r="J983" s="137"/>
    </row>
    <row r="984" ht="15.75" customHeight="1">
      <c r="I984" s="137"/>
      <c r="J984" s="137"/>
    </row>
    <row r="985" ht="15.75" customHeight="1">
      <c r="I985" s="137"/>
      <c r="J985" s="137"/>
    </row>
    <row r="986" ht="15.75" customHeight="1">
      <c r="I986" s="137"/>
      <c r="J986" s="137"/>
    </row>
    <row r="987" ht="15.75" customHeight="1">
      <c r="I987" s="137"/>
      <c r="J987" s="137"/>
    </row>
    <row r="988" ht="15.75" customHeight="1">
      <c r="I988" s="137"/>
      <c r="J988" s="137"/>
    </row>
    <row r="989" ht="15.75" customHeight="1">
      <c r="I989" s="137"/>
      <c r="J989" s="137"/>
    </row>
    <row r="990" ht="15.75" customHeight="1">
      <c r="I990" s="137"/>
      <c r="J990" s="137"/>
    </row>
    <row r="991" ht="15.75" customHeight="1">
      <c r="I991" s="137"/>
      <c r="J991" s="137"/>
    </row>
    <row r="992" ht="15.75" customHeight="1">
      <c r="I992" s="137"/>
      <c r="J992" s="137"/>
    </row>
    <row r="993" ht="15.75" customHeight="1">
      <c r="I993" s="137"/>
      <c r="J993" s="137"/>
    </row>
    <row r="994" ht="15.75" customHeight="1">
      <c r="I994" s="137"/>
      <c r="J994" s="137"/>
    </row>
    <row r="995" ht="15.75" customHeight="1">
      <c r="I995" s="137"/>
      <c r="J995" s="137"/>
    </row>
    <row r="996" ht="15.75" customHeight="1">
      <c r="I996" s="137"/>
      <c r="J996" s="137"/>
    </row>
    <row r="997" ht="15.75" customHeight="1">
      <c r="I997" s="137"/>
      <c r="J997" s="137"/>
    </row>
    <row r="998" ht="15.75" customHeight="1">
      <c r="I998" s="137"/>
      <c r="J998" s="137"/>
    </row>
    <row r="999" ht="15.75" customHeight="1">
      <c r="I999" s="137"/>
      <c r="J999" s="137"/>
    </row>
    <row r="1000" ht="15.75" customHeight="1">
      <c r="I1000" s="137"/>
      <c r="J1000" s="137"/>
    </row>
    <row r="1001" ht="15.75" customHeight="1">
      <c r="I1001" s="137"/>
      <c r="J1001" s="137"/>
    </row>
  </sheetData>
  <autoFilter ref="$A$1:$AL$61"/>
  <conditionalFormatting sqref="AL2:AL60">
    <cfRule type="containsText" dxfId="5" priority="1" operator="containsText" text="ATUALIZADO">
      <formula>NOT(ISERROR(SEARCH(("ATUALIZADO"),(AL2))))</formula>
    </cfRule>
  </conditionalFormatting>
  <conditionalFormatting sqref="AL2:AL60">
    <cfRule type="containsText" dxfId="6" priority="2" operator="containsText" text="NÃO LOCALIZADO">
      <formula>NOT(ISERROR(SEARCH(("NÃO LOCALIZADO"),(AL2))))</formula>
    </cfRule>
  </conditionalFormatting>
  <conditionalFormatting sqref="AL2:AL60">
    <cfRule type="containsText" dxfId="7" priority="3" operator="containsText" text="DUPLICADO">
      <formula>NOT(ISERROR(SEARCH(("DUPLICADO"),(AL2))))</formula>
    </cfRule>
  </conditionalFormatting>
  <dataValidations>
    <dataValidation type="list" allowBlank="1" showErrorMessage="1" sqref="S2:S60">
      <formula1>"SIM,NÃO"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8.0"/>
    <col customWidth="1" min="2" max="2" width="24.0"/>
    <col customWidth="1" min="3" max="3" width="60.0"/>
    <col customWidth="1" min="4" max="4" width="23.0"/>
    <col customWidth="1" min="5" max="13" width="16.0"/>
    <col customWidth="1" min="14" max="28" width="14.0"/>
    <col customWidth="1" min="29" max="29" width="18.0"/>
  </cols>
  <sheetData>
    <row r="1">
      <c r="A1" s="2" t="s">
        <v>0</v>
      </c>
      <c r="B1" s="2" t="s">
        <v>4</v>
      </c>
      <c r="C1" s="2" t="s">
        <v>6</v>
      </c>
      <c r="D1" s="2" t="s">
        <v>7</v>
      </c>
      <c r="E1" s="2" t="s">
        <v>8</v>
      </c>
      <c r="F1" s="2" t="s">
        <v>9</v>
      </c>
      <c r="G1" s="2"/>
      <c r="H1" s="2" t="s">
        <v>12</v>
      </c>
      <c r="I1" s="2"/>
      <c r="J1" s="2" t="s">
        <v>16</v>
      </c>
      <c r="K1" s="2" t="s">
        <v>19</v>
      </c>
      <c r="L1" s="2"/>
      <c r="M1" s="2" t="s">
        <v>21</v>
      </c>
      <c r="N1" s="2" t="s">
        <v>22</v>
      </c>
      <c r="O1" s="2" t="s">
        <v>24</v>
      </c>
      <c r="P1" s="2" t="s">
        <v>27</v>
      </c>
      <c r="Q1" s="2" t="s">
        <v>28</v>
      </c>
      <c r="R1" s="2" t="s">
        <v>29</v>
      </c>
      <c r="S1" s="2" t="s">
        <v>31</v>
      </c>
      <c r="T1" s="2" t="s">
        <v>33</v>
      </c>
      <c r="U1" s="2" t="s">
        <v>35</v>
      </c>
      <c r="V1" s="2" t="s">
        <v>37</v>
      </c>
      <c r="W1" s="2" t="s">
        <v>39</v>
      </c>
      <c r="X1" s="2" t="s">
        <v>42</v>
      </c>
      <c r="Y1" s="2" t="s">
        <v>44</v>
      </c>
      <c r="Z1" s="2" t="s">
        <v>47</v>
      </c>
      <c r="AA1" s="2" t="s">
        <v>49</v>
      </c>
      <c r="AB1" s="2" t="s">
        <v>52</v>
      </c>
      <c r="AC1" s="2" t="s">
        <v>51</v>
      </c>
    </row>
    <row r="2">
      <c r="A2" s="17" t="s">
        <v>59</v>
      </c>
      <c r="B2" s="17" t="s">
        <v>63</v>
      </c>
      <c r="C2" s="17" t="s">
        <v>66</v>
      </c>
      <c r="D2" s="17" t="s">
        <v>67</v>
      </c>
      <c r="E2" s="17">
        <v>230390.0</v>
      </c>
      <c r="F2" s="17" t="s">
        <v>69</v>
      </c>
      <c r="G2" s="17" t="s">
        <v>70</v>
      </c>
      <c r="H2" s="17">
        <v>339040.0</v>
      </c>
      <c r="I2" s="17" t="s">
        <v>73</v>
      </c>
      <c r="J2" s="17">
        <v>1.0E9</v>
      </c>
      <c r="K2" s="17">
        <v>157842.0</v>
      </c>
      <c r="L2" s="17" t="s">
        <v>77</v>
      </c>
      <c r="M2" s="17" t="s">
        <v>82</v>
      </c>
      <c r="N2" s="26"/>
      <c r="O2" s="28">
        <v>2560.24</v>
      </c>
      <c r="P2" s="28">
        <v>2560.24</v>
      </c>
      <c r="Q2" s="28">
        <v>2560.24</v>
      </c>
      <c r="R2" s="28">
        <v>2560.24</v>
      </c>
      <c r="S2" s="28">
        <v>2560.24</v>
      </c>
      <c r="T2" s="28">
        <v>2560.24</v>
      </c>
      <c r="U2" s="28">
        <v>0.0</v>
      </c>
      <c r="V2" s="26"/>
      <c r="W2" s="26"/>
      <c r="X2" s="26"/>
      <c r="Y2" s="26"/>
      <c r="Z2" s="28">
        <v>15361.44</v>
      </c>
      <c r="AA2" s="28">
        <v>15361.44</v>
      </c>
      <c r="AB2" s="39">
        <v>0.0</v>
      </c>
      <c r="AC2" s="45" t="str">
        <f t="shared" ref="AC2:AC1000" si="1">IF(B2="","",RIGHT(B2,12))</f>
        <v>2026NE000100</v>
      </c>
    </row>
    <row r="3">
      <c r="A3" s="17" t="s">
        <v>106</v>
      </c>
      <c r="B3" s="17" t="s">
        <v>107</v>
      </c>
      <c r="C3" s="17" t="s">
        <v>108</v>
      </c>
      <c r="D3" s="17" t="s">
        <v>67</v>
      </c>
      <c r="E3" s="17">
        <v>230390.0</v>
      </c>
      <c r="F3" s="17" t="s">
        <v>69</v>
      </c>
      <c r="G3" s="17" t="s">
        <v>70</v>
      </c>
      <c r="H3" s="17">
        <v>339039.0</v>
      </c>
      <c r="I3" s="17" t="s">
        <v>110</v>
      </c>
      <c r="J3" s="17">
        <v>1.0E9</v>
      </c>
      <c r="K3" s="17">
        <v>157909.0</v>
      </c>
      <c r="L3" s="17" t="s">
        <v>112</v>
      </c>
      <c r="M3" s="17" t="s">
        <v>102</v>
      </c>
      <c r="N3" s="26"/>
      <c r="O3" s="28">
        <v>10145.25</v>
      </c>
      <c r="P3" s="28">
        <v>7932.9</v>
      </c>
      <c r="Q3" s="28">
        <v>23103.3</v>
      </c>
      <c r="R3" s="28">
        <v>21207.0</v>
      </c>
      <c r="S3" s="28">
        <v>21207.0</v>
      </c>
      <c r="T3" s="28">
        <v>0.0</v>
      </c>
      <c r="U3" s="28">
        <v>0.0</v>
      </c>
      <c r="V3" s="26"/>
      <c r="W3" s="26"/>
      <c r="X3" s="26"/>
      <c r="Y3" s="26"/>
      <c r="Z3" s="28">
        <v>82331.25</v>
      </c>
      <c r="AA3" s="28">
        <v>121553.1</v>
      </c>
      <c r="AB3" s="39">
        <v>39221.85</v>
      </c>
      <c r="AC3" s="45" t="str">
        <f t="shared" si="1"/>
        <v>2026NE000094</v>
      </c>
    </row>
    <row r="4">
      <c r="A4" s="17" t="s">
        <v>106</v>
      </c>
      <c r="B4" s="17" t="s">
        <v>114</v>
      </c>
      <c r="C4" s="17" t="s">
        <v>115</v>
      </c>
      <c r="D4" s="17" t="s">
        <v>116</v>
      </c>
      <c r="E4" s="17">
        <v>230390.0</v>
      </c>
      <c r="F4" s="17" t="s">
        <v>69</v>
      </c>
      <c r="G4" s="17" t="s">
        <v>70</v>
      </c>
      <c r="H4" s="17">
        <v>339092.0</v>
      </c>
      <c r="I4" s="17" t="s">
        <v>117</v>
      </c>
      <c r="J4" s="17">
        <v>1.0E9</v>
      </c>
      <c r="K4" s="17">
        <v>157909.0</v>
      </c>
      <c r="L4" s="17" t="s">
        <v>112</v>
      </c>
      <c r="M4" s="17" t="s">
        <v>102</v>
      </c>
      <c r="N4" s="26"/>
      <c r="O4" s="26"/>
      <c r="P4" s="26"/>
      <c r="Q4" s="26"/>
      <c r="R4" s="28">
        <v>0.0</v>
      </c>
      <c r="S4" s="28">
        <v>0.0</v>
      </c>
      <c r="T4" s="28">
        <v>0.0</v>
      </c>
      <c r="U4" s="28">
        <v>0.0</v>
      </c>
      <c r="V4" s="26"/>
      <c r="W4" s="26"/>
      <c r="X4" s="26"/>
      <c r="Y4" s="26"/>
      <c r="Z4" s="28">
        <v>948.15</v>
      </c>
      <c r="AA4" s="28">
        <v>948.15</v>
      </c>
      <c r="AB4" s="39">
        <v>0.0</v>
      </c>
      <c r="AC4" s="45" t="str">
        <f t="shared" si="1"/>
        <v>2026NE000279</v>
      </c>
    </row>
    <row r="5">
      <c r="A5" s="17" t="s">
        <v>118</v>
      </c>
      <c r="B5" s="17" t="s">
        <v>119</v>
      </c>
      <c r="C5" s="17" t="s">
        <v>120</v>
      </c>
      <c r="D5" s="17" t="s">
        <v>67</v>
      </c>
      <c r="E5" s="17">
        <v>230390.0</v>
      </c>
      <c r="F5" s="17" t="s">
        <v>69</v>
      </c>
      <c r="G5" s="17" t="s">
        <v>70</v>
      </c>
      <c r="H5" s="17">
        <v>339039.0</v>
      </c>
      <c r="I5" s="17" t="s">
        <v>110</v>
      </c>
      <c r="J5" s="17">
        <v>1.0E9</v>
      </c>
      <c r="K5" s="17">
        <v>157658.0</v>
      </c>
      <c r="L5" s="17" t="s">
        <v>121</v>
      </c>
      <c r="M5" s="17" t="s">
        <v>122</v>
      </c>
      <c r="N5" s="26"/>
      <c r="O5" s="26"/>
      <c r="P5" s="26"/>
      <c r="Q5" s="28">
        <v>8395.8</v>
      </c>
      <c r="R5" s="28">
        <v>3206.28</v>
      </c>
      <c r="S5" s="28">
        <v>3206.28</v>
      </c>
      <c r="T5" s="28">
        <v>9609.96</v>
      </c>
      <c r="U5" s="28">
        <v>115.76</v>
      </c>
      <c r="V5" s="26"/>
      <c r="W5" s="26"/>
      <c r="X5" s="26"/>
      <c r="Y5" s="26"/>
      <c r="Z5" s="28">
        <v>24393.8</v>
      </c>
      <c r="AA5" s="28">
        <v>42051.96</v>
      </c>
      <c r="AB5" s="39">
        <v>17658.16</v>
      </c>
      <c r="AC5" s="45" t="str">
        <f t="shared" si="1"/>
        <v>2026NE000092</v>
      </c>
    </row>
    <row r="6">
      <c r="A6" s="17" t="s">
        <v>118</v>
      </c>
      <c r="B6" s="17" t="s">
        <v>123</v>
      </c>
      <c r="C6" s="17" t="s">
        <v>124</v>
      </c>
      <c r="D6" s="17" t="s">
        <v>125</v>
      </c>
      <c r="E6" s="17">
        <v>230400.0</v>
      </c>
      <c r="F6" s="17">
        <v>4002.0</v>
      </c>
      <c r="G6" s="17" t="s">
        <v>126</v>
      </c>
      <c r="H6" s="17">
        <v>339039.0</v>
      </c>
      <c r="I6" s="17" t="s">
        <v>110</v>
      </c>
      <c r="J6" s="17">
        <v>1.0E9</v>
      </c>
      <c r="K6" s="17">
        <v>157725.0</v>
      </c>
      <c r="L6" s="17" t="s">
        <v>127</v>
      </c>
      <c r="M6" s="17" t="s">
        <v>128</v>
      </c>
      <c r="N6" s="26"/>
      <c r="O6" s="26"/>
      <c r="P6" s="26"/>
      <c r="Q6" s="28">
        <v>456826.72</v>
      </c>
      <c r="R6" s="28">
        <v>185342.1</v>
      </c>
      <c r="S6" s="28">
        <v>185342.1</v>
      </c>
      <c r="T6" s="28">
        <v>463170.12</v>
      </c>
      <c r="U6" s="28">
        <v>4304.18</v>
      </c>
      <c r="V6" s="26"/>
      <c r="W6" s="26"/>
      <c r="X6" s="26"/>
      <c r="Y6" s="26"/>
      <c r="Z6" s="28">
        <v>1276284.28</v>
      </c>
      <c r="AA6" s="28">
        <v>1816000.0</v>
      </c>
      <c r="AB6" s="39">
        <v>539715.72</v>
      </c>
      <c r="AC6" s="45" t="str">
        <f t="shared" si="1"/>
        <v>2026NE000149</v>
      </c>
    </row>
    <row r="7">
      <c r="A7" s="17" t="s">
        <v>118</v>
      </c>
      <c r="B7" s="17" t="s">
        <v>129</v>
      </c>
      <c r="C7" s="17" t="s">
        <v>130</v>
      </c>
      <c r="D7" s="17" t="s">
        <v>131</v>
      </c>
      <c r="E7" s="17">
        <v>230400.0</v>
      </c>
      <c r="F7" s="17">
        <v>4002.0</v>
      </c>
      <c r="G7" s="17" t="s">
        <v>126</v>
      </c>
      <c r="H7" s="17">
        <v>339092.0</v>
      </c>
      <c r="I7" s="17" t="s">
        <v>117</v>
      </c>
      <c r="J7" s="17">
        <v>1.0E9</v>
      </c>
      <c r="K7" s="17">
        <v>157725.0</v>
      </c>
      <c r="L7" s="17" t="s">
        <v>127</v>
      </c>
      <c r="M7" s="17" t="s">
        <v>128</v>
      </c>
      <c r="N7" s="26"/>
      <c r="O7" s="26"/>
      <c r="P7" s="26"/>
      <c r="Q7" s="28">
        <v>72694.34</v>
      </c>
      <c r="R7" s="28">
        <v>0.0</v>
      </c>
      <c r="S7" s="28">
        <v>0.0</v>
      </c>
      <c r="T7" s="28">
        <v>0.0</v>
      </c>
      <c r="U7" s="28">
        <v>0.0</v>
      </c>
      <c r="V7" s="26"/>
      <c r="W7" s="26"/>
      <c r="X7" s="26"/>
      <c r="Y7" s="26"/>
      <c r="Z7" s="28">
        <v>72694.34</v>
      </c>
      <c r="AA7" s="28">
        <v>72694.34</v>
      </c>
      <c r="AB7" s="39">
        <v>0.0</v>
      </c>
      <c r="AC7" s="45" t="str">
        <f t="shared" si="1"/>
        <v>2026NE000236</v>
      </c>
    </row>
    <row r="8">
      <c r="A8" s="17" t="s">
        <v>118</v>
      </c>
      <c r="B8" s="17" t="s">
        <v>132</v>
      </c>
      <c r="C8" s="17" t="s">
        <v>133</v>
      </c>
      <c r="D8" s="17" t="s">
        <v>134</v>
      </c>
      <c r="E8" s="17">
        <v>230400.0</v>
      </c>
      <c r="F8" s="17">
        <v>4002.0</v>
      </c>
      <c r="G8" s="17" t="s">
        <v>126</v>
      </c>
      <c r="H8" s="17">
        <v>339093.0</v>
      </c>
      <c r="I8" s="17" t="s">
        <v>135</v>
      </c>
      <c r="J8" s="17">
        <v>1.0E9</v>
      </c>
      <c r="K8" s="17">
        <v>157725.0</v>
      </c>
      <c r="L8" s="17" t="s">
        <v>127</v>
      </c>
      <c r="M8" s="17" t="s">
        <v>128</v>
      </c>
      <c r="N8" s="26"/>
      <c r="O8" s="26"/>
      <c r="P8" s="26"/>
      <c r="Q8" s="26"/>
      <c r="R8" s="28">
        <v>0.0</v>
      </c>
      <c r="S8" s="28">
        <v>0.0</v>
      </c>
      <c r="T8" s="28">
        <v>0.0</v>
      </c>
      <c r="U8" s="28">
        <v>0.0</v>
      </c>
      <c r="V8" s="26"/>
      <c r="W8" s="26"/>
      <c r="X8" s="26"/>
      <c r="Y8" s="26"/>
      <c r="Z8" s="28">
        <v>75904.5</v>
      </c>
      <c r="AA8" s="28">
        <v>75904.5</v>
      </c>
      <c r="AB8" s="39">
        <v>0.0</v>
      </c>
      <c r="AC8" s="45" t="str">
        <f t="shared" si="1"/>
        <v>2026NE000253</v>
      </c>
    </row>
    <row r="9">
      <c r="A9" s="17" t="s">
        <v>136</v>
      </c>
      <c r="B9" s="17" t="s">
        <v>137</v>
      </c>
      <c r="C9" s="17" t="s">
        <v>138</v>
      </c>
      <c r="D9" s="17" t="s">
        <v>67</v>
      </c>
      <c r="E9" s="17">
        <v>230390.0</v>
      </c>
      <c r="F9" s="17" t="s">
        <v>69</v>
      </c>
      <c r="G9" s="17" t="s">
        <v>70</v>
      </c>
      <c r="H9" s="17">
        <v>339039.0</v>
      </c>
      <c r="I9" s="17" t="s">
        <v>110</v>
      </c>
      <c r="J9" s="17">
        <v>1.0E9</v>
      </c>
      <c r="K9" s="17">
        <v>157909.0</v>
      </c>
      <c r="L9" s="17" t="s">
        <v>112</v>
      </c>
      <c r="M9" s="17" t="s">
        <v>102</v>
      </c>
      <c r="N9" s="26"/>
      <c r="O9" s="28">
        <v>2006.78</v>
      </c>
      <c r="P9" s="28">
        <v>2006.78</v>
      </c>
      <c r="Q9" s="28">
        <v>2044.47</v>
      </c>
      <c r="R9" s="28">
        <v>2059.59</v>
      </c>
      <c r="S9" s="28">
        <v>2059.59</v>
      </c>
      <c r="T9" s="28">
        <v>2059.59</v>
      </c>
      <c r="U9" s="28">
        <v>0.0</v>
      </c>
      <c r="V9" s="26"/>
      <c r="W9" s="26"/>
      <c r="X9" s="26"/>
      <c r="Y9" s="26"/>
      <c r="Z9" s="28">
        <v>12236.8</v>
      </c>
      <c r="AA9" s="28">
        <v>12704.16</v>
      </c>
      <c r="AB9" s="39">
        <v>467.36</v>
      </c>
      <c r="AC9" s="45" t="str">
        <f t="shared" si="1"/>
        <v>2026NE000087</v>
      </c>
    </row>
    <row r="10">
      <c r="A10" s="17" t="s">
        <v>143</v>
      </c>
      <c r="B10" s="17" t="s">
        <v>144</v>
      </c>
      <c r="C10" s="17" t="s">
        <v>145</v>
      </c>
      <c r="D10" s="17" t="s">
        <v>146</v>
      </c>
      <c r="E10" s="17">
        <v>230390.0</v>
      </c>
      <c r="F10" s="17" t="s">
        <v>69</v>
      </c>
      <c r="G10" s="17" t="s">
        <v>70</v>
      </c>
      <c r="H10" s="17">
        <v>339092.0</v>
      </c>
      <c r="I10" s="17" t="s">
        <v>117</v>
      </c>
      <c r="J10" s="17">
        <v>1.0E9</v>
      </c>
      <c r="K10" s="17">
        <v>158649.0</v>
      </c>
      <c r="L10" s="17" t="s">
        <v>147</v>
      </c>
      <c r="M10" s="17" t="s">
        <v>102</v>
      </c>
      <c r="N10" s="28">
        <v>58455.97</v>
      </c>
      <c r="O10" s="28">
        <v>0.0</v>
      </c>
      <c r="P10" s="28">
        <v>0.0</v>
      </c>
      <c r="Q10" s="28">
        <v>0.0</v>
      </c>
      <c r="R10" s="28">
        <v>0.0</v>
      </c>
      <c r="S10" s="28">
        <v>0.0</v>
      </c>
      <c r="T10" s="28">
        <v>0.0</v>
      </c>
      <c r="U10" s="28">
        <v>0.0</v>
      </c>
      <c r="V10" s="26"/>
      <c r="W10" s="26"/>
      <c r="X10" s="26"/>
      <c r="Y10" s="26"/>
      <c r="Z10" s="28">
        <v>58455.97</v>
      </c>
      <c r="AA10" s="28">
        <v>58455.97</v>
      </c>
      <c r="AB10" s="39">
        <v>0.0</v>
      </c>
      <c r="AC10" s="45" t="str">
        <f t="shared" si="1"/>
        <v>2026NE000074</v>
      </c>
    </row>
    <row r="11">
      <c r="A11" s="17" t="s">
        <v>143</v>
      </c>
      <c r="B11" s="17" t="s">
        <v>149</v>
      </c>
      <c r="C11" s="17" t="s">
        <v>150</v>
      </c>
      <c r="D11" s="17" t="s">
        <v>151</v>
      </c>
      <c r="E11" s="17">
        <v>230390.0</v>
      </c>
      <c r="F11" s="17" t="s">
        <v>69</v>
      </c>
      <c r="G11" s="17" t="s">
        <v>70</v>
      </c>
      <c r="H11" s="17">
        <v>339092.0</v>
      </c>
      <c r="I11" s="17" t="s">
        <v>117</v>
      </c>
      <c r="J11" s="17">
        <v>1.0E9</v>
      </c>
      <c r="K11" s="17">
        <v>155940.0</v>
      </c>
      <c r="L11" s="17" t="s">
        <v>152</v>
      </c>
      <c r="M11" s="17" t="s">
        <v>102</v>
      </c>
      <c r="N11" s="28">
        <v>367917.91</v>
      </c>
      <c r="O11" s="28">
        <v>0.0</v>
      </c>
      <c r="P11" s="28">
        <v>0.0</v>
      </c>
      <c r="Q11" s="28">
        <v>0.0</v>
      </c>
      <c r="R11" s="28">
        <v>0.0</v>
      </c>
      <c r="S11" s="28">
        <v>0.0</v>
      </c>
      <c r="T11" s="28">
        <v>0.0</v>
      </c>
      <c r="U11" s="28">
        <v>0.0</v>
      </c>
      <c r="V11" s="26"/>
      <c r="W11" s="26"/>
      <c r="X11" s="26"/>
      <c r="Y11" s="26"/>
      <c r="Z11" s="28">
        <v>367917.91</v>
      </c>
      <c r="AA11" s="28">
        <v>367917.91</v>
      </c>
      <c r="AB11" s="39">
        <v>0.0</v>
      </c>
      <c r="AC11" s="45" t="str">
        <f t="shared" si="1"/>
        <v>2026NE000075</v>
      </c>
    </row>
    <row r="12">
      <c r="A12" s="17" t="s">
        <v>143</v>
      </c>
      <c r="B12" s="17" t="s">
        <v>155</v>
      </c>
      <c r="C12" s="17" t="s">
        <v>157</v>
      </c>
      <c r="D12" s="17" t="s">
        <v>158</v>
      </c>
      <c r="E12" s="17">
        <v>230390.0</v>
      </c>
      <c r="F12" s="17" t="s">
        <v>69</v>
      </c>
      <c r="G12" s="17" t="s">
        <v>70</v>
      </c>
      <c r="H12" s="17">
        <v>339092.0</v>
      </c>
      <c r="I12" s="17" t="s">
        <v>117</v>
      </c>
      <c r="J12" s="17">
        <v>1.0E9</v>
      </c>
      <c r="K12" s="17">
        <v>155940.0</v>
      </c>
      <c r="L12" s="17" t="s">
        <v>152</v>
      </c>
      <c r="M12" s="17" t="s">
        <v>102</v>
      </c>
      <c r="N12" s="28">
        <v>360133.09</v>
      </c>
      <c r="O12" s="28">
        <v>0.0</v>
      </c>
      <c r="P12" s="28">
        <v>0.0</v>
      </c>
      <c r="Q12" s="28">
        <v>0.0</v>
      </c>
      <c r="R12" s="28">
        <v>0.0</v>
      </c>
      <c r="S12" s="28">
        <v>0.0</v>
      </c>
      <c r="T12" s="28">
        <v>0.0</v>
      </c>
      <c r="U12" s="28">
        <v>0.0</v>
      </c>
      <c r="V12" s="26"/>
      <c r="W12" s="26"/>
      <c r="X12" s="26"/>
      <c r="Y12" s="26"/>
      <c r="Z12" s="28">
        <v>360133.09</v>
      </c>
      <c r="AA12" s="28">
        <v>360133.09</v>
      </c>
      <c r="AB12" s="39">
        <v>0.0</v>
      </c>
      <c r="AC12" s="45" t="str">
        <f t="shared" si="1"/>
        <v>2026NE000078</v>
      </c>
    </row>
    <row r="13">
      <c r="A13" s="17" t="s">
        <v>143</v>
      </c>
      <c r="B13" s="17" t="s">
        <v>162</v>
      </c>
      <c r="C13" s="17" t="s">
        <v>157</v>
      </c>
      <c r="D13" s="17" t="s">
        <v>158</v>
      </c>
      <c r="E13" s="17">
        <v>230386.0</v>
      </c>
      <c r="F13" s="17" t="s">
        <v>94</v>
      </c>
      <c r="G13" s="17" t="s">
        <v>163</v>
      </c>
      <c r="H13" s="17">
        <v>339092.0</v>
      </c>
      <c r="I13" s="17" t="s">
        <v>117</v>
      </c>
      <c r="J13" s="17">
        <v>1.0E9</v>
      </c>
      <c r="K13" s="17">
        <v>151928.0</v>
      </c>
      <c r="L13" s="17" t="s">
        <v>164</v>
      </c>
      <c r="M13" s="17" t="s">
        <v>96</v>
      </c>
      <c r="N13" s="28">
        <v>16636.43</v>
      </c>
      <c r="O13" s="28">
        <v>0.0</v>
      </c>
      <c r="P13" s="28">
        <v>0.0</v>
      </c>
      <c r="Q13" s="28">
        <v>0.0</v>
      </c>
      <c r="R13" s="28">
        <v>0.0</v>
      </c>
      <c r="S13" s="28">
        <v>0.0</v>
      </c>
      <c r="T13" s="28">
        <v>0.0</v>
      </c>
      <c r="U13" s="28">
        <v>0.0</v>
      </c>
      <c r="V13" s="26"/>
      <c r="W13" s="26"/>
      <c r="X13" s="26"/>
      <c r="Y13" s="26"/>
      <c r="Z13" s="28">
        <v>16636.43</v>
      </c>
      <c r="AA13" s="28">
        <v>16636.43</v>
      </c>
      <c r="AB13" s="39">
        <v>0.0</v>
      </c>
      <c r="AC13" s="45" t="str">
        <f t="shared" si="1"/>
        <v>2026NE000079</v>
      </c>
    </row>
    <row r="14">
      <c r="A14" s="17" t="s">
        <v>143</v>
      </c>
      <c r="B14" s="17" t="s">
        <v>165</v>
      </c>
      <c r="C14" s="17" t="s">
        <v>166</v>
      </c>
      <c r="D14" s="17" t="s">
        <v>167</v>
      </c>
      <c r="E14" s="17">
        <v>230390.0</v>
      </c>
      <c r="F14" s="17" t="s">
        <v>69</v>
      </c>
      <c r="G14" s="17" t="s">
        <v>70</v>
      </c>
      <c r="H14" s="17">
        <v>339039.0</v>
      </c>
      <c r="I14" s="17" t="s">
        <v>110</v>
      </c>
      <c r="J14" s="17">
        <v>1.0E9</v>
      </c>
      <c r="K14" s="17">
        <v>157909.0</v>
      </c>
      <c r="L14" s="17" t="s">
        <v>112</v>
      </c>
      <c r="M14" s="17" t="s">
        <v>102</v>
      </c>
      <c r="N14" s="26"/>
      <c r="O14" s="26"/>
      <c r="P14" s="28">
        <v>1074178.36</v>
      </c>
      <c r="Q14" s="28">
        <v>450474.91</v>
      </c>
      <c r="R14" s="28">
        <v>650616.88</v>
      </c>
      <c r="S14" s="28">
        <v>650616.88</v>
      </c>
      <c r="T14" s="28">
        <v>42368.75</v>
      </c>
      <c r="U14" s="28">
        <v>587108.68</v>
      </c>
      <c r="V14" s="26"/>
      <c r="W14" s="26"/>
      <c r="X14" s="26"/>
      <c r="Y14" s="26"/>
      <c r="Z14" s="28">
        <v>3492018.87</v>
      </c>
      <c r="AA14" s="28">
        <v>4500000.0</v>
      </c>
      <c r="AB14" s="39">
        <v>1007981.13</v>
      </c>
      <c r="AC14" s="45" t="str">
        <f t="shared" si="1"/>
        <v>2026NE000183</v>
      </c>
    </row>
    <row r="15">
      <c r="A15" s="17" t="s">
        <v>143</v>
      </c>
      <c r="B15" s="17" t="s">
        <v>168</v>
      </c>
      <c r="C15" s="17" t="s">
        <v>166</v>
      </c>
      <c r="D15" s="17" t="s">
        <v>167</v>
      </c>
      <c r="E15" s="17">
        <v>230386.0</v>
      </c>
      <c r="F15" s="17" t="s">
        <v>94</v>
      </c>
      <c r="G15" s="17" t="s">
        <v>163</v>
      </c>
      <c r="H15" s="17">
        <v>339039.0</v>
      </c>
      <c r="I15" s="17" t="s">
        <v>110</v>
      </c>
      <c r="J15" s="17">
        <v>1.0E9</v>
      </c>
      <c r="K15" s="17">
        <v>151928.0</v>
      </c>
      <c r="L15" s="17" t="s">
        <v>164</v>
      </c>
      <c r="M15" s="17" t="s">
        <v>96</v>
      </c>
      <c r="N15" s="26"/>
      <c r="O15" s="26"/>
      <c r="P15" s="28">
        <v>28060.36</v>
      </c>
      <c r="Q15" s="28">
        <v>14705.77</v>
      </c>
      <c r="R15" s="28">
        <v>15205.71</v>
      </c>
      <c r="S15" s="28">
        <v>15205.71</v>
      </c>
      <c r="T15" s="28">
        <v>0.0</v>
      </c>
      <c r="U15" s="28">
        <v>14507.54</v>
      </c>
      <c r="V15" s="26"/>
      <c r="W15" s="26"/>
      <c r="X15" s="26"/>
      <c r="Y15" s="26"/>
      <c r="Z15" s="28">
        <v>87892.97</v>
      </c>
      <c r="AA15" s="28">
        <v>108000.0</v>
      </c>
      <c r="AB15" s="39">
        <v>20107.03</v>
      </c>
      <c r="AC15" s="45" t="str">
        <f t="shared" si="1"/>
        <v>2026NE000184</v>
      </c>
    </row>
    <row r="16">
      <c r="A16" s="17" t="s">
        <v>143</v>
      </c>
      <c r="B16" s="17" t="s">
        <v>169</v>
      </c>
      <c r="C16" s="17" t="s">
        <v>170</v>
      </c>
      <c r="D16" s="17" t="s">
        <v>167</v>
      </c>
      <c r="E16" s="17">
        <v>230390.0</v>
      </c>
      <c r="F16" s="17" t="s">
        <v>69</v>
      </c>
      <c r="G16" s="17" t="s">
        <v>70</v>
      </c>
      <c r="H16" s="17">
        <v>339047.0</v>
      </c>
      <c r="I16" s="17" t="s">
        <v>171</v>
      </c>
      <c r="J16" s="17">
        <v>1.0E9</v>
      </c>
      <c r="K16" s="17">
        <v>157909.0</v>
      </c>
      <c r="L16" s="17" t="s">
        <v>112</v>
      </c>
      <c r="M16" s="17" t="s">
        <v>172</v>
      </c>
      <c r="N16" s="26"/>
      <c r="O16" s="26"/>
      <c r="P16" s="28">
        <v>4111.69</v>
      </c>
      <c r="Q16" s="28">
        <v>2070.77</v>
      </c>
      <c r="R16" s="28">
        <v>2165.65</v>
      </c>
      <c r="S16" s="28">
        <v>2165.65</v>
      </c>
      <c r="T16" s="28">
        <v>0.0</v>
      </c>
      <c r="U16" s="28">
        <v>2288.28</v>
      </c>
      <c r="V16" s="26"/>
      <c r="W16" s="26"/>
      <c r="X16" s="26"/>
      <c r="Y16" s="26"/>
      <c r="Z16" s="28">
        <v>12752.68</v>
      </c>
      <c r="AA16" s="28">
        <v>15000.0</v>
      </c>
      <c r="AB16" s="39">
        <v>2247.32</v>
      </c>
      <c r="AC16" s="45" t="str">
        <f t="shared" si="1"/>
        <v>2026NE000185</v>
      </c>
    </row>
    <row r="17">
      <c r="A17" s="17" t="s">
        <v>143</v>
      </c>
      <c r="B17" s="17" t="s">
        <v>173</v>
      </c>
      <c r="C17" s="17" t="s">
        <v>170</v>
      </c>
      <c r="D17" s="17" t="s">
        <v>167</v>
      </c>
      <c r="E17" s="17">
        <v>230386.0</v>
      </c>
      <c r="F17" s="17" t="s">
        <v>94</v>
      </c>
      <c r="G17" s="17" t="s">
        <v>163</v>
      </c>
      <c r="H17" s="17">
        <v>339047.0</v>
      </c>
      <c r="I17" s="17" t="s">
        <v>171</v>
      </c>
      <c r="J17" s="17">
        <v>1.0E9</v>
      </c>
      <c r="K17" s="17">
        <v>151928.0</v>
      </c>
      <c r="L17" s="17" t="s">
        <v>164</v>
      </c>
      <c r="M17" s="17" t="s">
        <v>178</v>
      </c>
      <c r="N17" s="26"/>
      <c r="O17" s="26"/>
      <c r="P17" s="28">
        <v>875.9</v>
      </c>
      <c r="Q17" s="28">
        <v>437.95</v>
      </c>
      <c r="R17" s="28">
        <v>437.95</v>
      </c>
      <c r="S17" s="28">
        <v>437.95</v>
      </c>
      <c r="T17" s="28">
        <v>0.0</v>
      </c>
      <c r="U17" s="28">
        <v>437.95</v>
      </c>
      <c r="V17" s="26"/>
      <c r="W17" s="26"/>
      <c r="X17" s="26"/>
      <c r="Y17" s="26"/>
      <c r="Z17" s="28">
        <v>2709.74</v>
      </c>
      <c r="AA17" s="28">
        <v>3000.0</v>
      </c>
      <c r="AB17" s="39">
        <v>290.26</v>
      </c>
      <c r="AC17" s="45" t="str">
        <f t="shared" si="1"/>
        <v>2026NE000186</v>
      </c>
    </row>
    <row r="18">
      <c r="A18" s="17" t="s">
        <v>143</v>
      </c>
      <c r="B18" s="17" t="s">
        <v>183</v>
      </c>
      <c r="C18" s="17" t="s">
        <v>184</v>
      </c>
      <c r="D18" s="17" t="s">
        <v>185</v>
      </c>
      <c r="E18" s="17">
        <v>230390.0</v>
      </c>
      <c r="F18" s="17" t="s">
        <v>69</v>
      </c>
      <c r="G18" s="17" t="s">
        <v>70</v>
      </c>
      <c r="H18" s="17">
        <v>339092.0</v>
      </c>
      <c r="I18" s="17" t="s">
        <v>117</v>
      </c>
      <c r="J18" s="17">
        <v>1.0E9</v>
      </c>
      <c r="K18" s="17">
        <v>158647.0</v>
      </c>
      <c r="L18" s="17" t="s">
        <v>186</v>
      </c>
      <c r="M18" s="17" t="s">
        <v>102</v>
      </c>
      <c r="N18" s="26"/>
      <c r="O18" s="26"/>
      <c r="P18" s="26"/>
      <c r="Q18" s="28">
        <v>506.27</v>
      </c>
      <c r="R18" s="28">
        <v>0.0</v>
      </c>
      <c r="S18" s="28">
        <v>0.0</v>
      </c>
      <c r="T18" s="28">
        <v>0.0</v>
      </c>
      <c r="U18" s="28">
        <v>0.0</v>
      </c>
      <c r="V18" s="26"/>
      <c r="W18" s="26"/>
      <c r="X18" s="26"/>
      <c r="Y18" s="26"/>
      <c r="Z18" s="28">
        <v>506.27</v>
      </c>
      <c r="AA18" s="28">
        <v>506.27</v>
      </c>
      <c r="AB18" s="39">
        <v>0.0</v>
      </c>
      <c r="AC18" s="45" t="str">
        <f t="shared" si="1"/>
        <v>2026NE000187</v>
      </c>
    </row>
    <row r="19">
      <c r="A19" s="17" t="s">
        <v>188</v>
      </c>
      <c r="B19" s="17" t="s">
        <v>189</v>
      </c>
      <c r="C19" s="17" t="s">
        <v>190</v>
      </c>
      <c r="D19" s="17" t="s">
        <v>191</v>
      </c>
      <c r="E19" s="17">
        <v>230390.0</v>
      </c>
      <c r="F19" s="17" t="s">
        <v>69</v>
      </c>
      <c r="G19" s="17" t="s">
        <v>70</v>
      </c>
      <c r="H19" s="17">
        <v>339092.0</v>
      </c>
      <c r="I19" s="17" t="s">
        <v>117</v>
      </c>
      <c r="J19" s="17">
        <v>1.0E9</v>
      </c>
      <c r="K19" s="17">
        <v>151930.0</v>
      </c>
      <c r="L19" s="17" t="s">
        <v>192</v>
      </c>
      <c r="M19" s="17" t="s">
        <v>102</v>
      </c>
      <c r="N19" s="28">
        <v>6002.62</v>
      </c>
      <c r="O19" s="28">
        <v>0.0</v>
      </c>
      <c r="P19" s="28">
        <v>0.0</v>
      </c>
      <c r="Q19" s="28">
        <v>0.0</v>
      </c>
      <c r="R19" s="28">
        <v>0.0</v>
      </c>
      <c r="S19" s="28">
        <v>0.0</v>
      </c>
      <c r="T19" s="28">
        <v>0.0</v>
      </c>
      <c r="U19" s="28">
        <v>0.0</v>
      </c>
      <c r="V19" s="26"/>
      <c r="W19" s="26"/>
      <c r="X19" s="26"/>
      <c r="Y19" s="26"/>
      <c r="Z19" s="28">
        <v>6002.62</v>
      </c>
      <c r="AA19" s="28">
        <v>6002.62</v>
      </c>
      <c r="AB19" s="39">
        <v>0.0</v>
      </c>
      <c r="AC19" s="45" t="str">
        <f t="shared" si="1"/>
        <v>2026NE000103</v>
      </c>
    </row>
    <row r="20">
      <c r="A20" s="17" t="s">
        <v>188</v>
      </c>
      <c r="B20" s="17" t="s">
        <v>193</v>
      </c>
      <c r="C20" s="17" t="s">
        <v>194</v>
      </c>
      <c r="D20" s="17" t="s">
        <v>195</v>
      </c>
      <c r="E20" s="17">
        <v>230390.0</v>
      </c>
      <c r="F20" s="17" t="s">
        <v>69</v>
      </c>
      <c r="G20" s="17" t="s">
        <v>70</v>
      </c>
      <c r="H20" s="17">
        <v>339039.0</v>
      </c>
      <c r="I20" s="17" t="s">
        <v>110</v>
      </c>
      <c r="J20" s="17">
        <v>1.0E9</v>
      </c>
      <c r="K20" s="17">
        <v>157909.0</v>
      </c>
      <c r="L20" s="17" t="s">
        <v>112</v>
      </c>
      <c r="M20" s="17" t="s">
        <v>102</v>
      </c>
      <c r="N20" s="26"/>
      <c r="O20" s="26"/>
      <c r="P20" s="28">
        <v>28953.07</v>
      </c>
      <c r="Q20" s="28">
        <v>51850.12</v>
      </c>
      <c r="R20" s="28">
        <v>72106.8</v>
      </c>
      <c r="S20" s="28">
        <v>72106.8</v>
      </c>
      <c r="T20" s="28">
        <v>48166.11</v>
      </c>
      <c r="U20" s="28">
        <v>25916.21</v>
      </c>
      <c r="V20" s="26"/>
      <c r="W20" s="26"/>
      <c r="X20" s="26"/>
      <c r="Y20" s="26"/>
      <c r="Z20" s="28">
        <v>258951.36</v>
      </c>
      <c r="AA20" s="28">
        <v>270000.0</v>
      </c>
      <c r="AB20" s="39">
        <v>11048.64</v>
      </c>
      <c r="AC20" s="45" t="str">
        <f t="shared" si="1"/>
        <v>2026NE000175</v>
      </c>
    </row>
    <row r="21" ht="15.75" customHeight="1">
      <c r="A21" s="17" t="s">
        <v>188</v>
      </c>
      <c r="B21" s="17" t="s">
        <v>201</v>
      </c>
      <c r="C21" s="17" t="s">
        <v>194</v>
      </c>
      <c r="D21" s="17" t="s">
        <v>195</v>
      </c>
      <c r="E21" s="17">
        <v>230386.0</v>
      </c>
      <c r="F21" s="17" t="s">
        <v>94</v>
      </c>
      <c r="G21" s="17" t="s">
        <v>163</v>
      </c>
      <c r="H21" s="17">
        <v>339039.0</v>
      </c>
      <c r="I21" s="17" t="s">
        <v>110</v>
      </c>
      <c r="J21" s="17">
        <v>1.0E9</v>
      </c>
      <c r="K21" s="17">
        <v>151928.0</v>
      </c>
      <c r="L21" s="17" t="s">
        <v>164</v>
      </c>
      <c r="M21" s="17" t="s">
        <v>96</v>
      </c>
      <c r="N21" s="26"/>
      <c r="O21" s="26"/>
      <c r="P21" s="28">
        <v>0.0</v>
      </c>
      <c r="Q21" s="28">
        <v>1426.11</v>
      </c>
      <c r="R21" s="28">
        <v>-637.71</v>
      </c>
      <c r="S21" s="28">
        <v>-637.71</v>
      </c>
      <c r="T21" s="28">
        <v>703.11</v>
      </c>
      <c r="U21" s="28">
        <v>753.2</v>
      </c>
      <c r="V21" s="26"/>
      <c r="W21" s="26"/>
      <c r="X21" s="26"/>
      <c r="Y21" s="26"/>
      <c r="Z21" s="28">
        <v>3567.93</v>
      </c>
      <c r="AA21" s="28">
        <v>15600.0</v>
      </c>
      <c r="AB21" s="39">
        <v>12032.07</v>
      </c>
      <c r="AC21" s="45" t="str">
        <f t="shared" si="1"/>
        <v>2026NE000176</v>
      </c>
    </row>
    <row r="22" ht="15.75" customHeight="1">
      <c r="A22" s="17" t="s">
        <v>188</v>
      </c>
      <c r="B22" s="17" t="s">
        <v>203</v>
      </c>
      <c r="C22" s="17" t="s">
        <v>204</v>
      </c>
      <c r="D22" s="17" t="s">
        <v>205</v>
      </c>
      <c r="E22" s="17">
        <v>230386.0</v>
      </c>
      <c r="F22" s="17" t="s">
        <v>94</v>
      </c>
      <c r="G22" s="17" t="s">
        <v>163</v>
      </c>
      <c r="H22" s="17">
        <v>339092.0</v>
      </c>
      <c r="I22" s="17" t="s">
        <v>117</v>
      </c>
      <c r="J22" s="17">
        <v>1.0E9</v>
      </c>
      <c r="K22" s="17">
        <v>151928.0</v>
      </c>
      <c r="L22" s="17" t="s">
        <v>164</v>
      </c>
      <c r="M22" s="17" t="s">
        <v>96</v>
      </c>
      <c r="N22" s="26"/>
      <c r="O22" s="26"/>
      <c r="P22" s="28">
        <v>0.0</v>
      </c>
      <c r="Q22" s="28">
        <v>0.0</v>
      </c>
      <c r="R22" s="28">
        <v>0.0</v>
      </c>
      <c r="S22" s="28">
        <v>0.0</v>
      </c>
      <c r="T22" s="28">
        <v>0.0</v>
      </c>
      <c r="U22" s="28">
        <v>0.0</v>
      </c>
      <c r="V22" s="26"/>
      <c r="W22" s="26"/>
      <c r="X22" s="26"/>
      <c r="Y22" s="26"/>
      <c r="Z22" s="28">
        <v>0.0</v>
      </c>
      <c r="AA22" s="28">
        <v>0.0</v>
      </c>
      <c r="AB22" s="39">
        <v>0.0</v>
      </c>
      <c r="AC22" s="45" t="str">
        <f t="shared" si="1"/>
        <v>2026NE000181</v>
      </c>
    </row>
    <row r="23" ht="15.75" customHeight="1">
      <c r="A23" s="17" t="s">
        <v>188</v>
      </c>
      <c r="B23" s="17" t="s">
        <v>206</v>
      </c>
      <c r="C23" s="17" t="s">
        <v>207</v>
      </c>
      <c r="D23" s="17" t="s">
        <v>208</v>
      </c>
      <c r="E23" s="17">
        <v>230390.0</v>
      </c>
      <c r="F23" s="17" t="s">
        <v>69</v>
      </c>
      <c r="G23" s="17" t="s">
        <v>70</v>
      </c>
      <c r="H23" s="17">
        <v>339092.0</v>
      </c>
      <c r="I23" s="17" t="s">
        <v>117</v>
      </c>
      <c r="J23" s="17">
        <v>1.0E9</v>
      </c>
      <c r="K23" s="17">
        <v>157909.0</v>
      </c>
      <c r="L23" s="17" t="s">
        <v>112</v>
      </c>
      <c r="M23" s="17" t="s">
        <v>102</v>
      </c>
      <c r="N23" s="26"/>
      <c r="O23" s="26"/>
      <c r="P23" s="28">
        <v>17992.78</v>
      </c>
      <c r="Q23" s="28">
        <v>0.0</v>
      </c>
      <c r="R23" s="28">
        <v>0.0</v>
      </c>
      <c r="S23" s="28">
        <v>0.0</v>
      </c>
      <c r="T23" s="28">
        <v>0.0</v>
      </c>
      <c r="U23" s="28">
        <v>0.0</v>
      </c>
      <c r="V23" s="26"/>
      <c r="W23" s="26"/>
      <c r="X23" s="26"/>
      <c r="Y23" s="26"/>
      <c r="Z23" s="28">
        <v>17992.78</v>
      </c>
      <c r="AA23" s="28">
        <v>17992.78</v>
      </c>
      <c r="AB23" s="39">
        <v>0.0</v>
      </c>
      <c r="AC23" s="45" t="str">
        <f t="shared" si="1"/>
        <v>2026NE000182</v>
      </c>
    </row>
    <row r="24" ht="15.75" customHeight="1">
      <c r="A24" s="17" t="s">
        <v>188</v>
      </c>
      <c r="B24" s="17" t="s">
        <v>209</v>
      </c>
      <c r="C24" s="17" t="s">
        <v>210</v>
      </c>
      <c r="D24" s="17" t="s">
        <v>211</v>
      </c>
      <c r="E24" s="17">
        <v>230390.0</v>
      </c>
      <c r="F24" s="17" t="s">
        <v>69</v>
      </c>
      <c r="G24" s="17" t="s">
        <v>70</v>
      </c>
      <c r="H24" s="17">
        <v>339092.0</v>
      </c>
      <c r="I24" s="17" t="s">
        <v>117</v>
      </c>
      <c r="J24" s="17">
        <v>1.0E9</v>
      </c>
      <c r="K24" s="17">
        <v>156605.0</v>
      </c>
      <c r="L24" s="17" t="s">
        <v>214</v>
      </c>
      <c r="M24" s="17" t="s">
        <v>102</v>
      </c>
      <c r="N24" s="26"/>
      <c r="O24" s="26"/>
      <c r="P24" s="28">
        <v>60.21</v>
      </c>
      <c r="Q24" s="28">
        <v>0.0</v>
      </c>
      <c r="R24" s="28">
        <v>0.0</v>
      </c>
      <c r="S24" s="28">
        <v>0.0</v>
      </c>
      <c r="T24" s="28">
        <v>0.0</v>
      </c>
      <c r="U24" s="28">
        <v>0.0</v>
      </c>
      <c r="V24" s="26"/>
      <c r="W24" s="26"/>
      <c r="X24" s="26"/>
      <c r="Y24" s="26"/>
      <c r="Z24" s="28">
        <v>60.21</v>
      </c>
      <c r="AA24" s="28">
        <v>60.21</v>
      </c>
      <c r="AB24" s="39">
        <v>0.0</v>
      </c>
      <c r="AC24" s="45" t="str">
        <f t="shared" si="1"/>
        <v>2026NE000215</v>
      </c>
    </row>
    <row r="25" ht="15.75" customHeight="1">
      <c r="A25" s="17" t="s">
        <v>188</v>
      </c>
      <c r="B25" s="17" t="s">
        <v>216</v>
      </c>
      <c r="C25" s="17" t="s">
        <v>217</v>
      </c>
      <c r="D25" s="17" t="s">
        <v>218</v>
      </c>
      <c r="E25" s="17">
        <v>230390.0</v>
      </c>
      <c r="F25" s="17" t="s">
        <v>69</v>
      </c>
      <c r="G25" s="17" t="s">
        <v>70</v>
      </c>
      <c r="H25" s="17">
        <v>339092.0</v>
      </c>
      <c r="I25" s="17" t="s">
        <v>117</v>
      </c>
      <c r="J25" s="17">
        <v>1.0E9</v>
      </c>
      <c r="K25" s="17">
        <v>156789.0</v>
      </c>
      <c r="L25" s="17" t="s">
        <v>219</v>
      </c>
      <c r="M25" s="17" t="s">
        <v>102</v>
      </c>
      <c r="N25" s="26"/>
      <c r="O25" s="26"/>
      <c r="P25" s="26"/>
      <c r="Q25" s="28">
        <v>849.83</v>
      </c>
      <c r="R25" s="28">
        <v>0.0</v>
      </c>
      <c r="S25" s="28">
        <v>0.0</v>
      </c>
      <c r="T25" s="28">
        <v>0.0</v>
      </c>
      <c r="U25" s="28">
        <v>0.0</v>
      </c>
      <c r="V25" s="26"/>
      <c r="W25" s="26"/>
      <c r="X25" s="26"/>
      <c r="Y25" s="26"/>
      <c r="Z25" s="28">
        <v>849.83</v>
      </c>
      <c r="AA25" s="28">
        <v>849.83</v>
      </c>
      <c r="AB25" s="39">
        <v>0.0</v>
      </c>
      <c r="AC25" s="45" t="str">
        <f t="shared" si="1"/>
        <v>2026NE000249</v>
      </c>
    </row>
    <row r="26" ht="15.75" customHeight="1">
      <c r="A26" s="17" t="s">
        <v>188</v>
      </c>
      <c r="B26" s="17" t="s">
        <v>221</v>
      </c>
      <c r="C26" s="17" t="s">
        <v>222</v>
      </c>
      <c r="D26" s="17" t="s">
        <v>223</v>
      </c>
      <c r="E26" s="17">
        <v>230386.0</v>
      </c>
      <c r="F26" s="17" t="s">
        <v>94</v>
      </c>
      <c r="G26" s="17" t="s">
        <v>163</v>
      </c>
      <c r="H26" s="17">
        <v>339092.0</v>
      </c>
      <c r="I26" s="17" t="s">
        <v>117</v>
      </c>
      <c r="J26" s="17">
        <v>1.0E9</v>
      </c>
      <c r="K26" s="17">
        <v>151928.0</v>
      </c>
      <c r="L26" s="17" t="s">
        <v>164</v>
      </c>
      <c r="M26" s="17" t="s">
        <v>96</v>
      </c>
      <c r="N26" s="26"/>
      <c r="O26" s="26"/>
      <c r="P26" s="26"/>
      <c r="Q26" s="26"/>
      <c r="R26" s="28">
        <v>0.0</v>
      </c>
      <c r="S26" s="28">
        <v>0.0</v>
      </c>
      <c r="T26" s="28">
        <v>0.0</v>
      </c>
      <c r="U26" s="28">
        <v>0.0</v>
      </c>
      <c r="V26" s="26"/>
      <c r="W26" s="26"/>
      <c r="X26" s="26"/>
      <c r="Y26" s="26"/>
      <c r="Z26" s="28">
        <v>636.6</v>
      </c>
      <c r="AA26" s="28">
        <v>636.6</v>
      </c>
      <c r="AB26" s="39">
        <v>0.0</v>
      </c>
      <c r="AC26" s="45" t="str">
        <f t="shared" si="1"/>
        <v>2026NE000282</v>
      </c>
    </row>
    <row r="27" ht="15.75" customHeight="1">
      <c r="A27" s="17" t="s">
        <v>226</v>
      </c>
      <c r="B27" s="17" t="s">
        <v>227</v>
      </c>
      <c r="C27" s="17" t="s">
        <v>228</v>
      </c>
      <c r="D27" s="17" t="s">
        <v>229</v>
      </c>
      <c r="E27" s="17">
        <v>230390.0</v>
      </c>
      <c r="F27" s="17" t="s">
        <v>69</v>
      </c>
      <c r="G27" s="17" t="s">
        <v>70</v>
      </c>
      <c r="H27" s="17">
        <v>339047.0</v>
      </c>
      <c r="I27" s="17" t="s">
        <v>171</v>
      </c>
      <c r="J27" s="17">
        <v>1.0E9</v>
      </c>
      <c r="K27" s="17">
        <v>157909.0</v>
      </c>
      <c r="L27" s="17" t="s">
        <v>112</v>
      </c>
      <c r="M27" s="17" t="s">
        <v>172</v>
      </c>
      <c r="N27" s="26"/>
      <c r="O27" s="26"/>
      <c r="P27" s="28">
        <v>130.64</v>
      </c>
      <c r="Q27" s="28">
        <v>0.0</v>
      </c>
      <c r="R27" s="28">
        <v>0.0</v>
      </c>
      <c r="S27" s="28">
        <v>0.0</v>
      </c>
      <c r="T27" s="28">
        <v>0.0</v>
      </c>
      <c r="U27" s="28">
        <v>130.64</v>
      </c>
      <c r="V27" s="26"/>
      <c r="W27" s="26"/>
      <c r="X27" s="26"/>
      <c r="Y27" s="26"/>
      <c r="Z27" s="28">
        <v>261.28</v>
      </c>
      <c r="AA27" s="28">
        <v>265.0</v>
      </c>
      <c r="AB27" s="39">
        <v>3.72</v>
      </c>
      <c r="AC27" s="45" t="str">
        <f t="shared" si="1"/>
        <v>2026NE000127</v>
      </c>
    </row>
    <row r="28" ht="15.75" customHeight="1">
      <c r="A28" s="17" t="s">
        <v>231</v>
      </c>
      <c r="B28" s="17" t="s">
        <v>232</v>
      </c>
      <c r="C28" s="17" t="s">
        <v>228</v>
      </c>
      <c r="D28" s="17" t="s">
        <v>229</v>
      </c>
      <c r="E28" s="17">
        <v>230390.0</v>
      </c>
      <c r="F28" s="17" t="s">
        <v>69</v>
      </c>
      <c r="G28" s="17" t="s">
        <v>70</v>
      </c>
      <c r="H28" s="17">
        <v>339047.0</v>
      </c>
      <c r="I28" s="17" t="s">
        <v>171</v>
      </c>
      <c r="J28" s="17">
        <v>1.0E9</v>
      </c>
      <c r="K28" s="17">
        <v>157909.0</v>
      </c>
      <c r="L28" s="17" t="s">
        <v>112</v>
      </c>
      <c r="M28" s="17" t="s">
        <v>172</v>
      </c>
      <c r="N28" s="26"/>
      <c r="O28" s="26"/>
      <c r="P28" s="26"/>
      <c r="Q28" s="28">
        <v>108.39</v>
      </c>
      <c r="R28" s="28">
        <v>393.98</v>
      </c>
      <c r="S28" s="28">
        <v>393.98</v>
      </c>
      <c r="T28" s="28">
        <v>325.17</v>
      </c>
      <c r="U28" s="28">
        <v>0.0</v>
      </c>
      <c r="V28" s="26"/>
      <c r="W28" s="26"/>
      <c r="X28" s="26"/>
      <c r="Y28" s="26"/>
      <c r="Z28" s="28">
        <v>935.93</v>
      </c>
      <c r="AA28" s="28">
        <v>2580.0</v>
      </c>
      <c r="AB28" s="39">
        <v>1644.07</v>
      </c>
      <c r="AC28" s="45" t="str">
        <f t="shared" si="1"/>
        <v>2026NE000128</v>
      </c>
    </row>
    <row r="29" ht="15.75" customHeight="1">
      <c r="A29" s="17" t="s">
        <v>233</v>
      </c>
      <c r="B29" s="17" t="s">
        <v>234</v>
      </c>
      <c r="C29" s="17" t="s">
        <v>228</v>
      </c>
      <c r="D29" s="17" t="s">
        <v>229</v>
      </c>
      <c r="E29" s="17">
        <v>230390.0</v>
      </c>
      <c r="F29" s="17" t="s">
        <v>69</v>
      </c>
      <c r="G29" s="17" t="s">
        <v>70</v>
      </c>
      <c r="H29" s="17">
        <v>339047.0</v>
      </c>
      <c r="I29" s="17" t="s">
        <v>171</v>
      </c>
      <c r="J29" s="17">
        <v>1.0E9</v>
      </c>
      <c r="K29" s="17">
        <v>157909.0</v>
      </c>
      <c r="L29" s="17" t="s">
        <v>112</v>
      </c>
      <c r="M29" s="17" t="s">
        <v>172</v>
      </c>
      <c r="N29" s="26"/>
      <c r="O29" s="26"/>
      <c r="P29" s="28">
        <v>68.17</v>
      </c>
      <c r="Q29" s="28">
        <v>0.0</v>
      </c>
      <c r="R29" s="28">
        <v>0.0</v>
      </c>
      <c r="S29" s="28">
        <v>0.0</v>
      </c>
      <c r="T29" s="28">
        <v>68.17</v>
      </c>
      <c r="U29" s="28">
        <v>0.0</v>
      </c>
      <c r="V29" s="26"/>
      <c r="W29" s="26"/>
      <c r="X29" s="26"/>
      <c r="Y29" s="26"/>
      <c r="Z29" s="28">
        <v>136.34</v>
      </c>
      <c r="AA29" s="28">
        <v>155.0</v>
      </c>
      <c r="AB29" s="39">
        <v>18.66</v>
      </c>
      <c r="AC29" s="45" t="str">
        <f t="shared" si="1"/>
        <v>2026NE000129</v>
      </c>
    </row>
    <row r="30" ht="15.75" customHeight="1">
      <c r="A30" s="17" t="s">
        <v>236</v>
      </c>
      <c r="B30" s="17" t="s">
        <v>237</v>
      </c>
      <c r="C30" s="17" t="s">
        <v>238</v>
      </c>
      <c r="D30" s="17" t="s">
        <v>239</v>
      </c>
      <c r="E30" s="17">
        <v>230390.0</v>
      </c>
      <c r="F30" s="17" t="s">
        <v>69</v>
      </c>
      <c r="G30" s="17" t="s">
        <v>70</v>
      </c>
      <c r="H30" s="17">
        <v>339047.0</v>
      </c>
      <c r="I30" s="17" t="s">
        <v>171</v>
      </c>
      <c r="J30" s="17">
        <v>1.0E9</v>
      </c>
      <c r="K30" s="17">
        <v>157909.0</v>
      </c>
      <c r="L30" s="17" t="s">
        <v>112</v>
      </c>
      <c r="M30" s="17" t="s">
        <v>172</v>
      </c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>
        <v>20759.31</v>
      </c>
      <c r="AB30" s="39">
        <v>20759.31</v>
      </c>
      <c r="AC30" s="45" t="str">
        <f t="shared" si="1"/>
        <v>2026NE000402</v>
      </c>
    </row>
    <row r="31" ht="15.75" customHeight="1">
      <c r="A31" s="17" t="s">
        <v>236</v>
      </c>
      <c r="B31" s="17" t="s">
        <v>240</v>
      </c>
      <c r="C31" s="17" t="s">
        <v>241</v>
      </c>
      <c r="D31" s="17" t="s">
        <v>239</v>
      </c>
      <c r="E31" s="17">
        <v>230386.0</v>
      </c>
      <c r="F31" s="17" t="s">
        <v>94</v>
      </c>
      <c r="G31" s="17" t="s">
        <v>163</v>
      </c>
      <c r="H31" s="17">
        <v>339047.0</v>
      </c>
      <c r="I31" s="17" t="s">
        <v>171</v>
      </c>
      <c r="J31" s="17">
        <v>1.0E9</v>
      </c>
      <c r="K31" s="17">
        <v>151928.0</v>
      </c>
      <c r="L31" s="17" t="s">
        <v>164</v>
      </c>
      <c r="M31" s="17" t="s">
        <v>178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>
        <v>1306.53</v>
      </c>
      <c r="AB31" s="39">
        <v>1306.53</v>
      </c>
      <c r="AC31" s="45" t="str">
        <f t="shared" si="1"/>
        <v>2026NE000403</v>
      </c>
    </row>
    <row r="32" ht="15.75" customHeight="1">
      <c r="A32" s="17" t="s">
        <v>242</v>
      </c>
      <c r="B32" s="17" t="s">
        <v>243</v>
      </c>
      <c r="C32" s="17" t="s">
        <v>244</v>
      </c>
      <c r="D32" s="17" t="s">
        <v>67</v>
      </c>
      <c r="E32" s="17">
        <v>230390.0</v>
      </c>
      <c r="F32" s="17" t="s">
        <v>69</v>
      </c>
      <c r="G32" s="17" t="s">
        <v>70</v>
      </c>
      <c r="H32" s="17">
        <v>339040.0</v>
      </c>
      <c r="I32" s="17" t="s">
        <v>73</v>
      </c>
      <c r="J32" s="17">
        <v>1.0E9</v>
      </c>
      <c r="K32" s="17">
        <v>156789.0</v>
      </c>
      <c r="L32" s="17" t="s">
        <v>219</v>
      </c>
      <c r="M32" s="17" t="s">
        <v>82</v>
      </c>
      <c r="N32" s="26"/>
      <c r="O32" s="28">
        <v>1250.0</v>
      </c>
      <c r="P32" s="28">
        <v>1250.0</v>
      </c>
      <c r="Q32" s="28">
        <v>1250.0</v>
      </c>
      <c r="R32" s="28">
        <v>1041.66</v>
      </c>
      <c r="S32" s="28">
        <v>1041.66</v>
      </c>
      <c r="T32" s="28">
        <v>1250.0</v>
      </c>
      <c r="U32" s="28">
        <v>0.0</v>
      </c>
      <c r="V32" s="26"/>
      <c r="W32" s="26"/>
      <c r="X32" s="26"/>
      <c r="Y32" s="26"/>
      <c r="Z32" s="28">
        <v>7291.66</v>
      </c>
      <c r="AA32" s="28">
        <v>7500.0</v>
      </c>
      <c r="AB32" s="39">
        <v>208.34</v>
      </c>
      <c r="AC32" s="45" t="str">
        <f t="shared" si="1"/>
        <v>2026NE000114</v>
      </c>
    </row>
    <row r="33" ht="15.75" customHeight="1">
      <c r="A33" s="17" t="s">
        <v>246</v>
      </c>
      <c r="B33" s="17" t="s">
        <v>247</v>
      </c>
      <c r="C33" s="17" t="s">
        <v>248</v>
      </c>
      <c r="D33" s="17" t="s">
        <v>67</v>
      </c>
      <c r="E33" s="17">
        <v>230390.0</v>
      </c>
      <c r="F33" s="17" t="s">
        <v>69</v>
      </c>
      <c r="G33" s="17" t="s">
        <v>70</v>
      </c>
      <c r="H33" s="17">
        <v>339039.0</v>
      </c>
      <c r="I33" s="17" t="s">
        <v>110</v>
      </c>
      <c r="J33" s="17">
        <v>1.0E9</v>
      </c>
      <c r="K33" s="17">
        <v>157742.0</v>
      </c>
      <c r="L33" s="17" t="s">
        <v>249</v>
      </c>
      <c r="M33" s="17" t="s">
        <v>102</v>
      </c>
      <c r="N33" s="26"/>
      <c r="O33" s="26"/>
      <c r="P33" s="26"/>
      <c r="Q33" s="26"/>
      <c r="R33" s="28">
        <v>600.0</v>
      </c>
      <c r="S33" s="28">
        <v>600.0</v>
      </c>
      <c r="T33" s="28">
        <v>800.0</v>
      </c>
      <c r="U33" s="28">
        <v>-400.0</v>
      </c>
      <c r="V33" s="26"/>
      <c r="W33" s="26"/>
      <c r="X33" s="26"/>
      <c r="Y33" s="26"/>
      <c r="Z33" s="28">
        <v>1300.0</v>
      </c>
      <c r="AA33" s="28">
        <v>2750.0</v>
      </c>
      <c r="AB33" s="39">
        <v>1450.0</v>
      </c>
      <c r="AC33" s="45" t="str">
        <f t="shared" si="1"/>
        <v>2026NE000131</v>
      </c>
    </row>
    <row r="34" ht="15.75" customHeight="1">
      <c r="A34" s="17" t="s">
        <v>250</v>
      </c>
      <c r="B34" s="17" t="s">
        <v>251</v>
      </c>
      <c r="C34" s="17" t="s">
        <v>252</v>
      </c>
      <c r="D34" s="17" t="s">
        <v>253</v>
      </c>
      <c r="E34" s="17">
        <v>230390.0</v>
      </c>
      <c r="F34" s="17" t="s">
        <v>69</v>
      </c>
      <c r="G34" s="17" t="s">
        <v>70</v>
      </c>
      <c r="H34" s="17">
        <v>339033.0</v>
      </c>
      <c r="I34" s="17" t="s">
        <v>254</v>
      </c>
      <c r="J34" s="17">
        <v>1.0E9</v>
      </c>
      <c r="K34" s="17">
        <v>157742.0</v>
      </c>
      <c r="L34" s="17" t="s">
        <v>249</v>
      </c>
      <c r="M34" s="17" t="s">
        <v>102</v>
      </c>
      <c r="N34" s="26"/>
      <c r="O34" s="28">
        <v>6110.93</v>
      </c>
      <c r="P34" s="28">
        <v>29836.69</v>
      </c>
      <c r="Q34" s="28">
        <v>0.0</v>
      </c>
      <c r="R34" s="28">
        <v>9360.34</v>
      </c>
      <c r="S34" s="28">
        <v>9360.34</v>
      </c>
      <c r="T34" s="28">
        <v>28849.65</v>
      </c>
      <c r="U34" s="28">
        <v>0.0</v>
      </c>
      <c r="V34" s="26"/>
      <c r="W34" s="26"/>
      <c r="X34" s="26"/>
      <c r="Y34" s="26"/>
      <c r="Z34" s="28">
        <v>114029.24</v>
      </c>
      <c r="AA34" s="28">
        <v>178144.89</v>
      </c>
      <c r="AB34" s="39">
        <v>64115.65</v>
      </c>
      <c r="AC34" s="45" t="str">
        <f t="shared" si="1"/>
        <v>2026NE000007</v>
      </c>
    </row>
    <row r="35" ht="15.75" customHeight="1">
      <c r="A35" s="17" t="s">
        <v>250</v>
      </c>
      <c r="B35" s="17" t="s">
        <v>256</v>
      </c>
      <c r="C35" s="17" t="s">
        <v>257</v>
      </c>
      <c r="D35" s="17" t="s">
        <v>258</v>
      </c>
      <c r="E35" s="17">
        <v>230386.0</v>
      </c>
      <c r="F35" s="17" t="s">
        <v>94</v>
      </c>
      <c r="G35" s="17" t="s">
        <v>163</v>
      </c>
      <c r="H35" s="17">
        <v>339033.0</v>
      </c>
      <c r="I35" s="17" t="s">
        <v>254</v>
      </c>
      <c r="J35" s="17">
        <v>1.0E9</v>
      </c>
      <c r="K35" s="17">
        <v>151928.0</v>
      </c>
      <c r="L35" s="17" t="s">
        <v>164</v>
      </c>
      <c r="M35" s="17" t="s">
        <v>96</v>
      </c>
      <c r="N35" s="26"/>
      <c r="O35" s="26"/>
      <c r="P35" s="26"/>
      <c r="Q35" s="26"/>
      <c r="R35" s="28">
        <v>5625.72</v>
      </c>
      <c r="S35" s="28">
        <v>5625.72</v>
      </c>
      <c r="T35" s="28">
        <v>6151.21</v>
      </c>
      <c r="U35" s="28">
        <v>0.0</v>
      </c>
      <c r="V35" s="26"/>
      <c r="W35" s="26"/>
      <c r="X35" s="26"/>
      <c r="Y35" s="26"/>
      <c r="Z35" s="28">
        <v>18066.62</v>
      </c>
      <c r="AA35" s="28">
        <v>38104.47</v>
      </c>
      <c r="AB35" s="39">
        <v>20037.85</v>
      </c>
      <c r="AC35" s="45" t="str">
        <f t="shared" si="1"/>
        <v>2026NE000101</v>
      </c>
    </row>
    <row r="36" ht="15.75" customHeight="1">
      <c r="A36" s="17" t="s">
        <v>250</v>
      </c>
      <c r="B36" s="17" t="s">
        <v>260</v>
      </c>
      <c r="C36" s="17" t="s">
        <v>261</v>
      </c>
      <c r="D36" s="17" t="s">
        <v>262</v>
      </c>
      <c r="E36" s="17">
        <v>230400.0</v>
      </c>
      <c r="F36" s="17">
        <v>4002.0</v>
      </c>
      <c r="G36" s="17" t="s">
        <v>126</v>
      </c>
      <c r="H36" s="17">
        <v>339033.0</v>
      </c>
      <c r="I36" s="17" t="s">
        <v>254</v>
      </c>
      <c r="J36" s="17">
        <v>1.0E9</v>
      </c>
      <c r="K36" s="17">
        <v>154623.0</v>
      </c>
      <c r="L36" s="17" t="s">
        <v>127</v>
      </c>
      <c r="M36" s="17" t="s">
        <v>263</v>
      </c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>
        <v>0.0</v>
      </c>
      <c r="AB36" s="39">
        <v>0.0</v>
      </c>
      <c r="AC36" s="45" t="str">
        <f t="shared" si="1"/>
        <v>2026NE000105</v>
      </c>
    </row>
    <row r="37" ht="15.75" customHeight="1">
      <c r="A37" s="17" t="s">
        <v>250</v>
      </c>
      <c r="B37" s="17" t="s">
        <v>265</v>
      </c>
      <c r="C37" s="17" t="s">
        <v>266</v>
      </c>
      <c r="D37" s="17" t="s">
        <v>262</v>
      </c>
      <c r="E37" s="17">
        <v>230400.0</v>
      </c>
      <c r="F37" s="17">
        <v>4002.0</v>
      </c>
      <c r="G37" s="17" t="s">
        <v>126</v>
      </c>
      <c r="H37" s="17">
        <v>339033.0</v>
      </c>
      <c r="I37" s="17" t="s">
        <v>254</v>
      </c>
      <c r="J37" s="17">
        <v>1.0E9</v>
      </c>
      <c r="K37" s="17">
        <v>157725.0</v>
      </c>
      <c r="L37" s="17" t="s">
        <v>127</v>
      </c>
      <c r="M37" s="17" t="s">
        <v>263</v>
      </c>
      <c r="N37" s="26"/>
      <c r="O37" s="26"/>
      <c r="P37" s="26"/>
      <c r="Q37" s="26"/>
      <c r="R37" s="26"/>
      <c r="S37" s="26"/>
      <c r="T37" s="28">
        <v>8627.84</v>
      </c>
      <c r="U37" s="28">
        <v>0.0</v>
      </c>
      <c r="V37" s="26"/>
      <c r="W37" s="26"/>
      <c r="X37" s="26"/>
      <c r="Y37" s="26"/>
      <c r="Z37" s="28">
        <v>8627.84</v>
      </c>
      <c r="AA37" s="28">
        <v>12000.0</v>
      </c>
      <c r="AB37" s="39">
        <v>3372.16</v>
      </c>
      <c r="AC37" s="45" t="str">
        <f t="shared" si="1"/>
        <v>2026NE000137</v>
      </c>
    </row>
    <row r="38" ht="15.75" customHeight="1">
      <c r="A38" s="17" t="s">
        <v>250</v>
      </c>
      <c r="B38" s="17" t="s">
        <v>267</v>
      </c>
      <c r="C38" s="17" t="s">
        <v>268</v>
      </c>
      <c r="D38" s="17" t="s">
        <v>269</v>
      </c>
      <c r="E38" s="17">
        <v>230392.0</v>
      </c>
      <c r="F38" s="17" t="s">
        <v>270</v>
      </c>
      <c r="G38" s="17" t="s">
        <v>271</v>
      </c>
      <c r="H38" s="17">
        <v>339033.0</v>
      </c>
      <c r="I38" s="17" t="s">
        <v>254</v>
      </c>
      <c r="J38" s="17">
        <v>1.0E9</v>
      </c>
      <c r="K38" s="17">
        <v>151969.0</v>
      </c>
      <c r="L38" s="17" t="s">
        <v>272</v>
      </c>
      <c r="M38" s="17" t="s">
        <v>273</v>
      </c>
      <c r="N38" s="26"/>
      <c r="O38" s="26"/>
      <c r="P38" s="26"/>
      <c r="Q38" s="26"/>
      <c r="R38" s="28">
        <v>0.0</v>
      </c>
      <c r="S38" s="28">
        <v>0.0</v>
      </c>
      <c r="T38" s="28">
        <v>1371.08</v>
      </c>
      <c r="U38" s="28">
        <v>0.0</v>
      </c>
      <c r="V38" s="26"/>
      <c r="W38" s="26"/>
      <c r="X38" s="26"/>
      <c r="Y38" s="26"/>
      <c r="Z38" s="28">
        <v>7539.82</v>
      </c>
      <c r="AA38" s="28">
        <v>8000.0</v>
      </c>
      <c r="AB38" s="39">
        <v>460.18</v>
      </c>
      <c r="AC38" s="45" t="str">
        <f t="shared" si="1"/>
        <v>2026NE000152</v>
      </c>
    </row>
    <row r="39" ht="15.75" customHeight="1">
      <c r="A39" s="17" t="s">
        <v>250</v>
      </c>
      <c r="B39" s="17" t="s">
        <v>277</v>
      </c>
      <c r="C39" s="17" t="s">
        <v>278</v>
      </c>
      <c r="D39" s="17" t="s">
        <v>279</v>
      </c>
      <c r="E39" s="17">
        <v>230396.0</v>
      </c>
      <c r="F39" s="17">
        <v>4002.0</v>
      </c>
      <c r="G39" s="17" t="s">
        <v>126</v>
      </c>
      <c r="H39" s="17">
        <v>339033.0</v>
      </c>
      <c r="I39" s="17" t="s">
        <v>254</v>
      </c>
      <c r="J39" s="17">
        <v>1.0E9</v>
      </c>
      <c r="K39" s="17">
        <v>157681.0</v>
      </c>
      <c r="L39" s="17" t="s">
        <v>280</v>
      </c>
      <c r="M39" s="17" t="s">
        <v>263</v>
      </c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>
        <v>17000.0</v>
      </c>
      <c r="AB39" s="39">
        <v>17000.0</v>
      </c>
      <c r="AC39" s="45" t="str">
        <f t="shared" si="1"/>
        <v>2026NE000319</v>
      </c>
    </row>
    <row r="40" ht="15.75" customHeight="1">
      <c r="A40" s="17" t="s">
        <v>281</v>
      </c>
      <c r="B40" s="17" t="s">
        <v>282</v>
      </c>
      <c r="C40" s="17" t="s">
        <v>283</v>
      </c>
      <c r="D40" s="17" t="s">
        <v>67</v>
      </c>
      <c r="E40" s="17">
        <v>230390.0</v>
      </c>
      <c r="F40" s="17" t="s">
        <v>69</v>
      </c>
      <c r="G40" s="17" t="s">
        <v>70</v>
      </c>
      <c r="H40" s="17">
        <v>339037.0</v>
      </c>
      <c r="I40" s="17" t="s">
        <v>284</v>
      </c>
      <c r="J40" s="17">
        <v>1.0E9</v>
      </c>
      <c r="K40" s="17">
        <v>157909.0</v>
      </c>
      <c r="L40" s="17" t="s">
        <v>112</v>
      </c>
      <c r="M40" s="17" t="s">
        <v>102</v>
      </c>
      <c r="N40" s="26"/>
      <c r="O40" s="26"/>
      <c r="P40" s="28">
        <v>36518.67</v>
      </c>
      <c r="Q40" s="28">
        <v>32944.44</v>
      </c>
      <c r="R40" s="28">
        <v>38535.29</v>
      </c>
      <c r="S40" s="28">
        <v>38535.29</v>
      </c>
      <c r="T40" s="28">
        <v>35435.81</v>
      </c>
      <c r="U40" s="28">
        <v>0.0</v>
      </c>
      <c r="V40" s="26"/>
      <c r="W40" s="26"/>
      <c r="X40" s="26"/>
      <c r="Y40" s="26"/>
      <c r="Z40" s="28">
        <v>179196.32</v>
      </c>
      <c r="AA40" s="28">
        <v>271500.78</v>
      </c>
      <c r="AB40" s="39">
        <v>92304.46</v>
      </c>
      <c r="AC40" s="45" t="str">
        <f t="shared" si="1"/>
        <v>2026NE000089</v>
      </c>
    </row>
    <row r="41" ht="15.75" customHeight="1">
      <c r="A41" s="17" t="s">
        <v>281</v>
      </c>
      <c r="B41" s="17" t="s">
        <v>288</v>
      </c>
      <c r="C41" s="17" t="s">
        <v>289</v>
      </c>
      <c r="D41" s="17" t="s">
        <v>67</v>
      </c>
      <c r="E41" s="17">
        <v>230390.0</v>
      </c>
      <c r="F41" s="17" t="s">
        <v>69</v>
      </c>
      <c r="G41" s="17" t="s">
        <v>70</v>
      </c>
      <c r="H41" s="17">
        <v>339039.0</v>
      </c>
      <c r="I41" s="17" t="s">
        <v>110</v>
      </c>
      <c r="J41" s="17">
        <v>1.0E9</v>
      </c>
      <c r="K41" s="17">
        <v>157909.0</v>
      </c>
      <c r="L41" s="17" t="s">
        <v>112</v>
      </c>
      <c r="M41" s="17" t="s">
        <v>102</v>
      </c>
      <c r="N41" s="26"/>
      <c r="O41" s="26"/>
      <c r="P41" s="28">
        <v>7328.23</v>
      </c>
      <c r="Q41" s="28">
        <v>9019.39</v>
      </c>
      <c r="R41" s="28">
        <v>0.0</v>
      </c>
      <c r="S41" s="28">
        <v>0.0</v>
      </c>
      <c r="T41" s="28">
        <v>0.0</v>
      </c>
      <c r="U41" s="28">
        <v>0.0</v>
      </c>
      <c r="V41" s="26"/>
      <c r="W41" s="26"/>
      <c r="X41" s="26"/>
      <c r="Y41" s="26"/>
      <c r="Z41" s="28">
        <v>21945.66</v>
      </c>
      <c r="AA41" s="28">
        <v>145113.18</v>
      </c>
      <c r="AB41" s="39">
        <v>123167.52</v>
      </c>
      <c r="AC41" s="45" t="str">
        <f t="shared" si="1"/>
        <v>2026NE000090</v>
      </c>
    </row>
    <row r="42" ht="15.75" customHeight="1">
      <c r="A42" s="17" t="s">
        <v>291</v>
      </c>
      <c r="B42" s="17" t="s">
        <v>292</v>
      </c>
      <c r="C42" s="17" t="s">
        <v>294</v>
      </c>
      <c r="D42" s="17" t="s">
        <v>67</v>
      </c>
      <c r="E42" s="17">
        <v>230390.0</v>
      </c>
      <c r="F42" s="17" t="s">
        <v>69</v>
      </c>
      <c r="G42" s="17" t="s">
        <v>70</v>
      </c>
      <c r="H42" s="17">
        <v>339039.0</v>
      </c>
      <c r="I42" s="17" t="s">
        <v>110</v>
      </c>
      <c r="J42" s="17">
        <v>1.0E9</v>
      </c>
      <c r="K42" s="17">
        <v>157742.0</v>
      </c>
      <c r="L42" s="17" t="s">
        <v>249</v>
      </c>
      <c r="M42" s="17" t="s">
        <v>102</v>
      </c>
      <c r="N42" s="26"/>
      <c r="O42" s="28">
        <v>271.53</v>
      </c>
      <c r="P42" s="28">
        <v>277.41</v>
      </c>
      <c r="Q42" s="28">
        <v>513.74</v>
      </c>
      <c r="R42" s="28">
        <v>543.5</v>
      </c>
      <c r="S42" s="28">
        <v>543.5</v>
      </c>
      <c r="T42" s="28">
        <v>614.14</v>
      </c>
      <c r="U42" s="28">
        <v>247.13</v>
      </c>
      <c r="V42" s="26"/>
      <c r="W42" s="26"/>
      <c r="X42" s="26"/>
      <c r="Y42" s="26"/>
      <c r="Z42" s="28">
        <v>2703.48</v>
      </c>
      <c r="AA42" s="28">
        <v>4500.0</v>
      </c>
      <c r="AB42" s="39">
        <v>1796.52</v>
      </c>
      <c r="AC42" s="45" t="str">
        <f t="shared" si="1"/>
        <v>2026NE000091</v>
      </c>
    </row>
    <row r="43" ht="15.75" customHeight="1">
      <c r="A43" s="17" t="s">
        <v>298</v>
      </c>
      <c r="B43" s="17" t="s">
        <v>299</v>
      </c>
      <c r="C43" s="17" t="s">
        <v>300</v>
      </c>
      <c r="D43" s="17" t="s">
        <v>301</v>
      </c>
      <c r="E43" s="17">
        <v>230390.0</v>
      </c>
      <c r="F43" s="17" t="s">
        <v>69</v>
      </c>
      <c r="G43" s="17" t="s">
        <v>70</v>
      </c>
      <c r="H43" s="17">
        <v>339147.0</v>
      </c>
      <c r="I43" s="17" t="s">
        <v>302</v>
      </c>
      <c r="J43" s="17">
        <v>1.0E9</v>
      </c>
      <c r="K43" s="17">
        <v>157665.0</v>
      </c>
      <c r="L43" s="17" t="s">
        <v>303</v>
      </c>
      <c r="M43" s="17" t="s">
        <v>172</v>
      </c>
      <c r="N43" s="26"/>
      <c r="O43" s="28">
        <v>4855.0</v>
      </c>
      <c r="P43" s="28">
        <v>130.0</v>
      </c>
      <c r="Q43" s="28">
        <v>3557.0</v>
      </c>
      <c r="R43" s="28">
        <v>11184.0</v>
      </c>
      <c r="S43" s="28">
        <v>11184.0</v>
      </c>
      <c r="T43" s="28">
        <v>3375.0</v>
      </c>
      <c r="U43" s="28">
        <v>0.0</v>
      </c>
      <c r="V43" s="26"/>
      <c r="W43" s="26"/>
      <c r="X43" s="26"/>
      <c r="Y43" s="26"/>
      <c r="Z43" s="28">
        <v>24471.0</v>
      </c>
      <c r="AA43" s="28">
        <v>25000.0</v>
      </c>
      <c r="AB43" s="39">
        <v>529.0</v>
      </c>
      <c r="AC43" s="45" t="str">
        <f t="shared" si="1"/>
        <v>2026NE000138</v>
      </c>
    </row>
    <row r="44" ht="15.75" customHeight="1">
      <c r="A44" s="17" t="s">
        <v>304</v>
      </c>
      <c r="B44" s="17" t="s">
        <v>305</v>
      </c>
      <c r="C44" s="17" t="s">
        <v>306</v>
      </c>
      <c r="D44" s="17" t="s">
        <v>67</v>
      </c>
      <c r="E44" s="17">
        <v>230390.0</v>
      </c>
      <c r="F44" s="17" t="s">
        <v>69</v>
      </c>
      <c r="G44" s="17" t="s">
        <v>70</v>
      </c>
      <c r="H44" s="17">
        <v>339037.0</v>
      </c>
      <c r="I44" s="17" t="s">
        <v>284</v>
      </c>
      <c r="J44" s="17">
        <v>1.0E9</v>
      </c>
      <c r="K44" s="17">
        <v>157909.0</v>
      </c>
      <c r="L44" s="17" t="s">
        <v>112</v>
      </c>
      <c r="M44" s="17" t="s">
        <v>102</v>
      </c>
      <c r="N44" s="26"/>
      <c r="O44" s="26"/>
      <c r="P44" s="28">
        <v>925744.21</v>
      </c>
      <c r="Q44" s="28">
        <v>928728.23</v>
      </c>
      <c r="R44" s="28">
        <v>0.0</v>
      </c>
      <c r="S44" s="28">
        <v>0.0</v>
      </c>
      <c r="T44" s="28">
        <v>2763131.19</v>
      </c>
      <c r="U44" s="28">
        <v>927225.23</v>
      </c>
      <c r="V44" s="26"/>
      <c r="W44" s="26"/>
      <c r="X44" s="26"/>
      <c r="Y44" s="26"/>
      <c r="Z44" s="28">
        <v>5544828.86</v>
      </c>
      <c r="AA44" s="28">
        <v>5563790.82</v>
      </c>
      <c r="AB44" s="39">
        <v>18961.96</v>
      </c>
      <c r="AC44" s="45" t="str">
        <f t="shared" si="1"/>
        <v>2026NE000088</v>
      </c>
    </row>
    <row r="45" ht="15.75" customHeight="1">
      <c r="A45" s="17" t="s">
        <v>304</v>
      </c>
      <c r="B45" s="17" t="s">
        <v>309</v>
      </c>
      <c r="C45" s="17" t="s">
        <v>310</v>
      </c>
      <c r="D45" s="17" t="s">
        <v>311</v>
      </c>
      <c r="E45" s="17">
        <v>230386.0</v>
      </c>
      <c r="F45" s="17" t="s">
        <v>94</v>
      </c>
      <c r="G45" s="17" t="s">
        <v>163</v>
      </c>
      <c r="H45" s="17">
        <v>339037.0</v>
      </c>
      <c r="I45" s="17" t="s">
        <v>284</v>
      </c>
      <c r="J45" s="17">
        <v>1.0E9</v>
      </c>
      <c r="K45" s="17">
        <v>151928.0</v>
      </c>
      <c r="L45" s="17" t="s">
        <v>164</v>
      </c>
      <c r="M45" s="17" t="s">
        <v>96</v>
      </c>
      <c r="N45" s="26"/>
      <c r="O45" s="26"/>
      <c r="P45" s="28">
        <v>72445.13</v>
      </c>
      <c r="Q45" s="28">
        <v>69461.11</v>
      </c>
      <c r="R45" s="28">
        <v>0.0</v>
      </c>
      <c r="S45" s="28">
        <v>0.0</v>
      </c>
      <c r="T45" s="28">
        <v>212892.33</v>
      </c>
      <c r="U45" s="28">
        <v>70964.11</v>
      </c>
      <c r="V45" s="26"/>
      <c r="W45" s="26"/>
      <c r="X45" s="26"/>
      <c r="Y45" s="26"/>
      <c r="Z45" s="28">
        <v>425762.68</v>
      </c>
      <c r="AA45" s="28">
        <v>425762.69</v>
      </c>
      <c r="AB45" s="39">
        <v>0.01</v>
      </c>
      <c r="AC45" s="45" t="str">
        <f t="shared" si="1"/>
        <v>2026NE000111</v>
      </c>
    </row>
    <row r="46" ht="15.75" customHeight="1">
      <c r="A46" s="17" t="s">
        <v>313</v>
      </c>
      <c r="B46" s="17" t="s">
        <v>314</v>
      </c>
      <c r="C46" s="17" t="s">
        <v>315</v>
      </c>
      <c r="D46" s="17" t="s">
        <v>67</v>
      </c>
      <c r="E46" s="17">
        <v>230398.0</v>
      </c>
      <c r="F46" s="17" t="s">
        <v>69</v>
      </c>
      <c r="G46" s="17" t="s">
        <v>70</v>
      </c>
      <c r="H46" s="17">
        <v>339039.0</v>
      </c>
      <c r="I46" s="17" t="s">
        <v>110</v>
      </c>
      <c r="J46" s="17">
        <v>1.0E9</v>
      </c>
      <c r="K46" s="17">
        <v>157978.0</v>
      </c>
      <c r="L46" s="17" t="s">
        <v>316</v>
      </c>
      <c r="M46" s="17" t="s">
        <v>317</v>
      </c>
      <c r="N46" s="26"/>
      <c r="O46" s="28">
        <v>6132.03</v>
      </c>
      <c r="P46" s="28">
        <v>6301.65</v>
      </c>
      <c r="Q46" s="28">
        <v>10043.13</v>
      </c>
      <c r="R46" s="28">
        <v>8523.38</v>
      </c>
      <c r="S46" s="28">
        <v>8523.38</v>
      </c>
      <c r="T46" s="28">
        <v>9096.53</v>
      </c>
      <c r="U46" s="28">
        <v>0.0</v>
      </c>
      <c r="V46" s="26"/>
      <c r="W46" s="26"/>
      <c r="X46" s="26"/>
      <c r="Y46" s="26"/>
      <c r="Z46" s="28">
        <v>40096.72</v>
      </c>
      <c r="AA46" s="28">
        <v>47154.25</v>
      </c>
      <c r="AB46" s="39">
        <v>7057.53</v>
      </c>
      <c r="AC46" s="45" t="str">
        <f t="shared" si="1"/>
        <v>2026NE000115</v>
      </c>
    </row>
    <row r="47" ht="15.75" customHeight="1">
      <c r="A47" s="17" t="s">
        <v>313</v>
      </c>
      <c r="B47" s="17" t="s">
        <v>318</v>
      </c>
      <c r="C47" s="17" t="s">
        <v>319</v>
      </c>
      <c r="D47" s="17" t="s">
        <v>320</v>
      </c>
      <c r="E47" s="17">
        <v>230398.0</v>
      </c>
      <c r="F47" s="17" t="s">
        <v>69</v>
      </c>
      <c r="G47" s="17" t="s">
        <v>70</v>
      </c>
      <c r="H47" s="17">
        <v>339092.0</v>
      </c>
      <c r="I47" s="17" t="s">
        <v>117</v>
      </c>
      <c r="J47" s="17">
        <v>1.0E9</v>
      </c>
      <c r="K47" s="17">
        <v>152218.0</v>
      </c>
      <c r="L47" s="17" t="s">
        <v>322</v>
      </c>
      <c r="M47" s="17" t="s">
        <v>102</v>
      </c>
      <c r="N47" s="26"/>
      <c r="O47" s="26"/>
      <c r="P47" s="26"/>
      <c r="Q47" s="26"/>
      <c r="R47" s="26"/>
      <c r="S47" s="26"/>
      <c r="T47" s="26"/>
      <c r="U47" s="28">
        <v>1219.64</v>
      </c>
      <c r="V47" s="26"/>
      <c r="W47" s="26"/>
      <c r="X47" s="26"/>
      <c r="Y47" s="26"/>
      <c r="Z47" s="28">
        <v>1219.64</v>
      </c>
      <c r="AA47" s="28">
        <v>1219.64</v>
      </c>
      <c r="AB47" s="39">
        <v>0.0</v>
      </c>
      <c r="AC47" s="45" t="str">
        <f t="shared" si="1"/>
        <v>2026NE000418</v>
      </c>
    </row>
    <row r="48" ht="15.75" customHeight="1">
      <c r="A48" s="17" t="s">
        <v>323</v>
      </c>
      <c r="B48" s="17" t="s">
        <v>324</v>
      </c>
      <c r="C48" s="17" t="s">
        <v>325</v>
      </c>
      <c r="D48" s="17" t="s">
        <v>67</v>
      </c>
      <c r="E48" s="17">
        <v>230390.0</v>
      </c>
      <c r="F48" s="17" t="s">
        <v>69</v>
      </c>
      <c r="G48" s="17" t="s">
        <v>70</v>
      </c>
      <c r="H48" s="17">
        <v>339030.0</v>
      </c>
      <c r="I48" s="17" t="s">
        <v>326</v>
      </c>
      <c r="J48" s="17">
        <v>1.0E9</v>
      </c>
      <c r="K48" s="17">
        <v>157909.0</v>
      </c>
      <c r="L48" s="17" t="s">
        <v>112</v>
      </c>
      <c r="M48" s="17" t="s">
        <v>102</v>
      </c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>
        <v>0.0</v>
      </c>
      <c r="AB48" s="39">
        <v>0.0</v>
      </c>
      <c r="AC48" s="45" t="str">
        <f t="shared" si="1"/>
        <v>2026NE000093</v>
      </c>
    </row>
    <row r="49" ht="15.75" customHeight="1">
      <c r="A49" s="17" t="s">
        <v>323</v>
      </c>
      <c r="B49" s="17" t="s">
        <v>328</v>
      </c>
      <c r="C49" s="17" t="s">
        <v>330</v>
      </c>
      <c r="D49" s="17" t="s">
        <v>311</v>
      </c>
      <c r="E49" s="17">
        <v>230386.0</v>
      </c>
      <c r="F49" s="17" t="s">
        <v>94</v>
      </c>
      <c r="G49" s="17" t="s">
        <v>163</v>
      </c>
      <c r="H49" s="17">
        <v>339030.0</v>
      </c>
      <c r="I49" s="17" t="s">
        <v>326</v>
      </c>
      <c r="J49" s="17">
        <v>1.0E9</v>
      </c>
      <c r="K49" s="17">
        <v>151928.0</v>
      </c>
      <c r="L49" s="17" t="s">
        <v>164</v>
      </c>
      <c r="M49" s="17" t="s">
        <v>96</v>
      </c>
      <c r="N49" s="26"/>
      <c r="O49" s="26"/>
      <c r="P49" s="28">
        <v>612.04</v>
      </c>
      <c r="Q49" s="28">
        <v>0.0</v>
      </c>
      <c r="R49" s="28">
        <v>0.0</v>
      </c>
      <c r="S49" s="28">
        <v>0.0</v>
      </c>
      <c r="T49" s="28">
        <v>0.0</v>
      </c>
      <c r="U49" s="28">
        <v>0.0</v>
      </c>
      <c r="V49" s="26"/>
      <c r="W49" s="26"/>
      <c r="X49" s="26"/>
      <c r="Y49" s="26"/>
      <c r="Z49" s="28">
        <v>2741.6</v>
      </c>
      <c r="AA49" s="28">
        <v>7315.68</v>
      </c>
      <c r="AB49" s="39">
        <v>4574.08</v>
      </c>
      <c r="AC49" s="45" t="str">
        <f t="shared" si="1"/>
        <v>2026NE000113</v>
      </c>
    </row>
    <row r="50" ht="15.75" customHeight="1">
      <c r="A50" s="17" t="s">
        <v>323</v>
      </c>
      <c r="B50" s="17" t="s">
        <v>334</v>
      </c>
      <c r="C50" s="17" t="s">
        <v>335</v>
      </c>
      <c r="D50" s="17" t="s">
        <v>67</v>
      </c>
      <c r="E50" s="17">
        <v>230390.0</v>
      </c>
      <c r="F50" s="17" t="s">
        <v>69</v>
      </c>
      <c r="G50" s="17" t="s">
        <v>70</v>
      </c>
      <c r="H50" s="17">
        <v>339030.0</v>
      </c>
      <c r="I50" s="17" t="s">
        <v>326</v>
      </c>
      <c r="J50" s="17">
        <v>1.0E9</v>
      </c>
      <c r="K50" s="17">
        <v>157909.0</v>
      </c>
      <c r="L50" s="17" t="s">
        <v>112</v>
      </c>
      <c r="M50" s="17" t="s">
        <v>102</v>
      </c>
      <c r="N50" s="26"/>
      <c r="O50" s="26"/>
      <c r="P50" s="28">
        <v>39796.51</v>
      </c>
      <c r="Q50" s="28">
        <v>0.0</v>
      </c>
      <c r="R50" s="28">
        <v>0.0</v>
      </c>
      <c r="S50" s="28">
        <v>0.0</v>
      </c>
      <c r="T50" s="28">
        <v>143978.16</v>
      </c>
      <c r="U50" s="28">
        <v>114883.8</v>
      </c>
      <c r="V50" s="26"/>
      <c r="W50" s="26"/>
      <c r="X50" s="26"/>
      <c r="Y50" s="26"/>
      <c r="Z50" s="28">
        <v>561083.45</v>
      </c>
      <c r="AA50" s="28">
        <v>665440.01</v>
      </c>
      <c r="AB50" s="39">
        <v>104356.56</v>
      </c>
      <c r="AC50" s="45" t="str">
        <f t="shared" si="1"/>
        <v>2026NE000116</v>
      </c>
    </row>
    <row r="51" ht="15.75" customHeight="1">
      <c r="A51" s="17" t="s">
        <v>336</v>
      </c>
      <c r="B51" s="17" t="s">
        <v>337</v>
      </c>
      <c r="C51" s="17" t="s">
        <v>338</v>
      </c>
      <c r="D51" s="17" t="s">
        <v>67</v>
      </c>
      <c r="E51" s="17">
        <v>230390.0</v>
      </c>
      <c r="F51" s="17" t="s">
        <v>69</v>
      </c>
      <c r="G51" s="17" t="s">
        <v>70</v>
      </c>
      <c r="H51" s="17">
        <v>339039.0</v>
      </c>
      <c r="I51" s="17" t="s">
        <v>110</v>
      </c>
      <c r="J51" s="17">
        <v>1.0E9</v>
      </c>
      <c r="K51" s="17">
        <v>157684.0</v>
      </c>
      <c r="L51" s="17" t="s">
        <v>339</v>
      </c>
      <c r="M51" s="17" t="s">
        <v>340</v>
      </c>
      <c r="N51" s="26"/>
      <c r="O51" s="28">
        <v>611.45</v>
      </c>
      <c r="P51" s="28">
        <v>249.2</v>
      </c>
      <c r="Q51" s="28">
        <v>584.85</v>
      </c>
      <c r="R51" s="28">
        <v>624.4</v>
      </c>
      <c r="S51" s="28">
        <v>624.4</v>
      </c>
      <c r="T51" s="28">
        <v>1258.25</v>
      </c>
      <c r="U51" s="28">
        <v>0.0</v>
      </c>
      <c r="V51" s="26"/>
      <c r="W51" s="26"/>
      <c r="X51" s="26"/>
      <c r="Y51" s="26"/>
      <c r="Z51" s="28">
        <v>3936.1</v>
      </c>
      <c r="AA51" s="28">
        <v>4287.5</v>
      </c>
      <c r="AB51" s="39">
        <v>351.4</v>
      </c>
      <c r="AC51" s="45" t="str">
        <f t="shared" si="1"/>
        <v>2026NE000085</v>
      </c>
    </row>
    <row r="52" ht="15.75" customHeight="1">
      <c r="A52" s="17" t="s">
        <v>344</v>
      </c>
      <c r="B52" s="17" t="s">
        <v>345</v>
      </c>
      <c r="C52" s="17" t="s">
        <v>346</v>
      </c>
      <c r="D52" s="17" t="s">
        <v>347</v>
      </c>
      <c r="E52" s="17">
        <v>230390.0</v>
      </c>
      <c r="F52" s="17" t="s">
        <v>69</v>
      </c>
      <c r="G52" s="17" t="s">
        <v>70</v>
      </c>
      <c r="H52" s="17">
        <v>339047.0</v>
      </c>
      <c r="I52" s="17" t="s">
        <v>171</v>
      </c>
      <c r="J52" s="17">
        <v>1.0E9</v>
      </c>
      <c r="K52" s="17">
        <v>157909.0</v>
      </c>
      <c r="L52" s="17" t="s">
        <v>112</v>
      </c>
      <c r="M52" s="17" t="s">
        <v>172</v>
      </c>
      <c r="N52" s="26"/>
      <c r="O52" s="26"/>
      <c r="P52" s="26"/>
      <c r="Q52" s="26"/>
      <c r="R52" s="28">
        <v>0.0</v>
      </c>
      <c r="S52" s="28">
        <v>0.0</v>
      </c>
      <c r="T52" s="28">
        <v>0.0</v>
      </c>
      <c r="U52" s="28">
        <v>0.0</v>
      </c>
      <c r="V52" s="26"/>
      <c r="W52" s="26"/>
      <c r="X52" s="26"/>
      <c r="Y52" s="26"/>
      <c r="Z52" s="28">
        <v>3050.79</v>
      </c>
      <c r="AA52" s="28">
        <v>3200.0</v>
      </c>
      <c r="AB52" s="39">
        <v>149.21</v>
      </c>
      <c r="AC52" s="45" t="str">
        <f t="shared" si="1"/>
        <v>2026NE000126</v>
      </c>
    </row>
    <row r="53" ht="15.75" customHeight="1">
      <c r="A53" s="17" t="s">
        <v>344</v>
      </c>
      <c r="B53" s="17" t="s">
        <v>349</v>
      </c>
      <c r="C53" s="17" t="s">
        <v>350</v>
      </c>
      <c r="D53" s="17" t="s">
        <v>351</v>
      </c>
      <c r="E53" s="17">
        <v>230390.0</v>
      </c>
      <c r="F53" s="17" t="s">
        <v>69</v>
      </c>
      <c r="G53" s="17" t="s">
        <v>70</v>
      </c>
      <c r="H53" s="17">
        <v>339047.0</v>
      </c>
      <c r="I53" s="17" t="s">
        <v>171</v>
      </c>
      <c r="J53" s="17">
        <v>1.0E9</v>
      </c>
      <c r="K53" s="17">
        <v>157742.0</v>
      </c>
      <c r="L53" s="17" t="s">
        <v>249</v>
      </c>
      <c r="M53" s="17" t="s">
        <v>172</v>
      </c>
      <c r="N53" s="26"/>
      <c r="O53" s="26"/>
      <c r="P53" s="28">
        <v>5331.41</v>
      </c>
      <c r="Q53" s="28">
        <v>0.0</v>
      </c>
      <c r="R53" s="28">
        <v>0.0</v>
      </c>
      <c r="S53" s="28">
        <v>0.0</v>
      </c>
      <c r="T53" s="28">
        <v>0.0</v>
      </c>
      <c r="U53" s="28">
        <v>0.0</v>
      </c>
      <c r="V53" s="26"/>
      <c r="W53" s="26"/>
      <c r="X53" s="26"/>
      <c r="Y53" s="26"/>
      <c r="Z53" s="28">
        <v>5331.41</v>
      </c>
      <c r="AA53" s="28">
        <v>8000.0</v>
      </c>
      <c r="AB53" s="39">
        <v>2668.59</v>
      </c>
      <c r="AC53" s="45" t="str">
        <f t="shared" si="1"/>
        <v>2026NE000159</v>
      </c>
    </row>
    <row r="54" ht="15.75" customHeight="1">
      <c r="A54" s="17" t="s">
        <v>344</v>
      </c>
      <c r="B54" s="17" t="s">
        <v>357</v>
      </c>
      <c r="C54" s="17" t="s">
        <v>358</v>
      </c>
      <c r="D54" s="17" t="s">
        <v>359</v>
      </c>
      <c r="E54" s="17">
        <v>230390.0</v>
      </c>
      <c r="F54" s="17" t="s">
        <v>69</v>
      </c>
      <c r="G54" s="17" t="s">
        <v>70</v>
      </c>
      <c r="H54" s="17">
        <v>339047.0</v>
      </c>
      <c r="I54" s="17" t="s">
        <v>171</v>
      </c>
      <c r="J54" s="17">
        <v>1.0E9</v>
      </c>
      <c r="K54" s="17">
        <v>157742.0</v>
      </c>
      <c r="L54" s="17" t="s">
        <v>249</v>
      </c>
      <c r="M54" s="17" t="s">
        <v>172</v>
      </c>
      <c r="N54" s="26"/>
      <c r="O54" s="26"/>
      <c r="P54" s="26"/>
      <c r="Q54" s="26"/>
      <c r="R54" s="28">
        <v>0.0</v>
      </c>
      <c r="S54" s="28">
        <v>0.0</v>
      </c>
      <c r="T54" s="28">
        <v>0.0</v>
      </c>
      <c r="U54" s="28">
        <v>0.0</v>
      </c>
      <c r="V54" s="26"/>
      <c r="W54" s="26"/>
      <c r="X54" s="26"/>
      <c r="Y54" s="26"/>
      <c r="Z54" s="28">
        <v>4057.58</v>
      </c>
      <c r="AA54" s="28">
        <v>4057.58</v>
      </c>
      <c r="AB54" s="39">
        <v>0.0</v>
      </c>
      <c r="AC54" s="45" t="str">
        <f t="shared" si="1"/>
        <v>2026NE000301</v>
      </c>
    </row>
    <row r="55" ht="15.75" customHeight="1">
      <c r="A55" s="17" t="s">
        <v>360</v>
      </c>
      <c r="B55" s="17" t="s">
        <v>361</v>
      </c>
      <c r="C55" s="17" t="s">
        <v>362</v>
      </c>
      <c r="D55" s="17" t="s">
        <v>67</v>
      </c>
      <c r="E55" s="17">
        <v>230390.0</v>
      </c>
      <c r="F55" s="17" t="s">
        <v>69</v>
      </c>
      <c r="G55" s="17" t="s">
        <v>70</v>
      </c>
      <c r="H55" s="17">
        <v>339039.0</v>
      </c>
      <c r="I55" s="17" t="s">
        <v>110</v>
      </c>
      <c r="J55" s="17">
        <v>1.0E9</v>
      </c>
      <c r="K55" s="17">
        <v>157658.0</v>
      </c>
      <c r="L55" s="17" t="s">
        <v>121</v>
      </c>
      <c r="M55" s="17" t="s">
        <v>122</v>
      </c>
      <c r="N55" s="26"/>
      <c r="O55" s="26"/>
      <c r="P55" s="28">
        <v>19841.96</v>
      </c>
      <c r="Q55" s="28">
        <v>93771.71</v>
      </c>
      <c r="R55" s="28">
        <v>94709.82</v>
      </c>
      <c r="S55" s="28">
        <v>94709.82</v>
      </c>
      <c r="T55" s="28">
        <v>81119.58</v>
      </c>
      <c r="U55" s="28">
        <v>0.0</v>
      </c>
      <c r="V55" s="26"/>
      <c r="W55" s="26"/>
      <c r="X55" s="26"/>
      <c r="Y55" s="26"/>
      <c r="Z55" s="28">
        <v>382086.9</v>
      </c>
      <c r="AA55" s="28">
        <v>528376.14</v>
      </c>
      <c r="AB55" s="39">
        <v>146289.24</v>
      </c>
      <c r="AC55" s="45" t="str">
        <f t="shared" si="1"/>
        <v>2026NE000098</v>
      </c>
    </row>
    <row r="56" ht="15.75" customHeight="1">
      <c r="A56" s="17" t="s">
        <v>360</v>
      </c>
      <c r="B56" s="17" t="s">
        <v>366</v>
      </c>
      <c r="C56" s="17" t="s">
        <v>367</v>
      </c>
      <c r="D56" s="17" t="s">
        <v>311</v>
      </c>
      <c r="E56" s="17">
        <v>230387.0</v>
      </c>
      <c r="F56" s="17">
        <v>2994.0</v>
      </c>
      <c r="G56" s="17" t="s">
        <v>368</v>
      </c>
      <c r="H56" s="17">
        <v>339039.0</v>
      </c>
      <c r="I56" s="17" t="s">
        <v>110</v>
      </c>
      <c r="J56" s="17">
        <v>1.0E9</v>
      </c>
      <c r="K56" s="17">
        <v>151928.0</v>
      </c>
      <c r="L56" s="17" t="s">
        <v>164</v>
      </c>
      <c r="M56" s="17" t="s">
        <v>369</v>
      </c>
      <c r="N56" s="26"/>
      <c r="O56" s="26"/>
      <c r="P56" s="28">
        <v>8512.87</v>
      </c>
      <c r="Q56" s="28">
        <v>28287.11</v>
      </c>
      <c r="R56" s="28">
        <v>25744.1</v>
      </c>
      <c r="S56" s="28">
        <v>25744.1</v>
      </c>
      <c r="T56" s="28">
        <v>11321.88</v>
      </c>
      <c r="U56" s="28">
        <v>0.0</v>
      </c>
      <c r="V56" s="26"/>
      <c r="W56" s="26"/>
      <c r="X56" s="26"/>
      <c r="Y56" s="26"/>
      <c r="Z56" s="28">
        <v>101842.3</v>
      </c>
      <c r="AA56" s="28">
        <v>152484.43</v>
      </c>
      <c r="AB56" s="39">
        <v>50642.13</v>
      </c>
      <c r="AC56" s="45" t="str">
        <f t="shared" si="1"/>
        <v>2026NE000107</v>
      </c>
    </row>
    <row r="57" ht="15.75" customHeight="1">
      <c r="A57" s="17" t="s">
        <v>360</v>
      </c>
      <c r="B57" s="17" t="s">
        <v>370</v>
      </c>
      <c r="C57" s="17" t="s">
        <v>372</v>
      </c>
      <c r="D57" s="17" t="s">
        <v>125</v>
      </c>
      <c r="E57" s="17">
        <v>230400.0</v>
      </c>
      <c r="F57" s="17">
        <v>4002.0</v>
      </c>
      <c r="G57" s="17" t="s">
        <v>126</v>
      </c>
      <c r="H57" s="17">
        <v>339039.0</v>
      </c>
      <c r="I57" s="17" t="s">
        <v>110</v>
      </c>
      <c r="J57" s="17">
        <v>1.0E9</v>
      </c>
      <c r="K57" s="17">
        <v>157725.0</v>
      </c>
      <c r="L57" s="17" t="s">
        <v>127</v>
      </c>
      <c r="M57" s="17" t="s">
        <v>128</v>
      </c>
      <c r="N57" s="26"/>
      <c r="O57" s="26"/>
      <c r="P57" s="28">
        <v>157673.38</v>
      </c>
      <c r="Q57" s="28">
        <v>631609.92</v>
      </c>
      <c r="R57" s="28">
        <v>592421.46</v>
      </c>
      <c r="S57" s="28">
        <v>592421.46</v>
      </c>
      <c r="T57" s="28">
        <v>383687.08</v>
      </c>
      <c r="U57" s="28">
        <v>0.0</v>
      </c>
      <c r="V57" s="26"/>
      <c r="W57" s="26"/>
      <c r="X57" s="26"/>
      <c r="Y57" s="26"/>
      <c r="Z57" s="28">
        <v>2369270.87</v>
      </c>
      <c r="AA57" s="28">
        <v>3929946.58</v>
      </c>
      <c r="AB57" s="39">
        <v>1560675.71</v>
      </c>
      <c r="AC57" s="45" t="str">
        <f t="shared" si="1"/>
        <v>2026NE000150</v>
      </c>
    </row>
    <row r="58" ht="15.75" customHeight="1">
      <c r="A58" s="17" t="s">
        <v>360</v>
      </c>
      <c r="B58" s="17" t="s">
        <v>375</v>
      </c>
      <c r="C58" s="17" t="s">
        <v>376</v>
      </c>
      <c r="D58" s="17" t="s">
        <v>377</v>
      </c>
      <c r="E58" s="17">
        <v>230392.0</v>
      </c>
      <c r="F58" s="17" t="s">
        <v>270</v>
      </c>
      <c r="G58" s="17" t="s">
        <v>271</v>
      </c>
      <c r="H58" s="17">
        <v>339039.0</v>
      </c>
      <c r="I58" s="17" t="s">
        <v>110</v>
      </c>
      <c r="J58" s="17">
        <v>1.0E9</v>
      </c>
      <c r="K58" s="17">
        <v>151969.0</v>
      </c>
      <c r="L58" s="17" t="s">
        <v>272</v>
      </c>
      <c r="M58" s="17" t="s">
        <v>273</v>
      </c>
      <c r="N58" s="26"/>
      <c r="O58" s="26"/>
      <c r="P58" s="26"/>
      <c r="Q58" s="28">
        <v>124.67</v>
      </c>
      <c r="R58" s="28">
        <v>0.0</v>
      </c>
      <c r="S58" s="28">
        <v>0.0</v>
      </c>
      <c r="T58" s="28">
        <v>0.0</v>
      </c>
      <c r="U58" s="28">
        <v>0.0</v>
      </c>
      <c r="V58" s="26"/>
      <c r="W58" s="26"/>
      <c r="X58" s="26"/>
      <c r="Y58" s="26"/>
      <c r="Z58" s="28">
        <v>124.67</v>
      </c>
      <c r="AA58" s="28">
        <v>124.67</v>
      </c>
      <c r="AB58" s="39">
        <v>0.0</v>
      </c>
      <c r="AC58" s="45" t="str">
        <f t="shared" si="1"/>
        <v>2026NE000234</v>
      </c>
    </row>
    <row r="59" ht="15.75" customHeight="1">
      <c r="A59" s="17" t="s">
        <v>381</v>
      </c>
      <c r="B59" s="17" t="s">
        <v>382</v>
      </c>
      <c r="C59" s="17" t="s">
        <v>383</v>
      </c>
      <c r="D59" s="17" t="s">
        <v>67</v>
      </c>
      <c r="E59" s="17">
        <v>230390.0</v>
      </c>
      <c r="F59" s="17" t="s">
        <v>69</v>
      </c>
      <c r="G59" s="17" t="s">
        <v>70</v>
      </c>
      <c r="H59" s="17">
        <v>339039.0</v>
      </c>
      <c r="I59" s="17" t="s">
        <v>110</v>
      </c>
      <c r="J59" s="17">
        <v>1.0E9</v>
      </c>
      <c r="K59" s="17">
        <v>157909.0</v>
      </c>
      <c r="L59" s="17" t="s">
        <v>112</v>
      </c>
      <c r="M59" s="17" t="s">
        <v>102</v>
      </c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>
        <v>0.0</v>
      </c>
      <c r="AB59" s="39">
        <v>0.0</v>
      </c>
      <c r="AC59" s="45" t="str">
        <f t="shared" si="1"/>
        <v>2026NE000086</v>
      </c>
    </row>
    <row r="60" ht="15.75" customHeight="1">
      <c r="A60" s="17" t="s">
        <v>381</v>
      </c>
      <c r="B60" s="17" t="s">
        <v>384</v>
      </c>
      <c r="C60" s="17" t="s">
        <v>385</v>
      </c>
      <c r="D60" s="17" t="s">
        <v>386</v>
      </c>
      <c r="E60" s="17">
        <v>230390.0</v>
      </c>
      <c r="F60" s="17" t="s">
        <v>69</v>
      </c>
      <c r="G60" s="17" t="s">
        <v>70</v>
      </c>
      <c r="H60" s="17">
        <v>339039.0</v>
      </c>
      <c r="I60" s="17" t="s">
        <v>110</v>
      </c>
      <c r="J60" s="17">
        <v>1.0E9</v>
      </c>
      <c r="K60" s="17">
        <v>157909.0</v>
      </c>
      <c r="L60" s="17" t="s">
        <v>112</v>
      </c>
      <c r="M60" s="17" t="s">
        <v>102</v>
      </c>
      <c r="N60" s="26"/>
      <c r="O60" s="26"/>
      <c r="P60" s="26"/>
      <c r="Q60" s="28">
        <v>571.97</v>
      </c>
      <c r="R60" s="28">
        <v>614.56</v>
      </c>
      <c r="S60" s="28">
        <v>614.56</v>
      </c>
      <c r="T60" s="28">
        <v>655.99</v>
      </c>
      <c r="U60" s="28">
        <v>0.0</v>
      </c>
      <c r="V60" s="26"/>
      <c r="W60" s="26"/>
      <c r="X60" s="26"/>
      <c r="Y60" s="26"/>
      <c r="Z60" s="28">
        <v>2526.58</v>
      </c>
      <c r="AA60" s="28">
        <v>22214.0</v>
      </c>
      <c r="AB60" s="39">
        <v>19687.42</v>
      </c>
      <c r="AC60" s="45" t="str">
        <f t="shared" si="1"/>
        <v>2026NE000148</v>
      </c>
    </row>
    <row r="61" ht="15.75" customHeight="1">
      <c r="A61" s="17" t="s">
        <v>391</v>
      </c>
      <c r="B61" s="17" t="s">
        <v>392</v>
      </c>
      <c r="C61" s="17" t="s">
        <v>393</v>
      </c>
      <c r="D61" s="17" t="s">
        <v>67</v>
      </c>
      <c r="E61" s="17">
        <v>230390.0</v>
      </c>
      <c r="F61" s="17" t="s">
        <v>69</v>
      </c>
      <c r="G61" s="17" t="s">
        <v>70</v>
      </c>
      <c r="H61" s="17">
        <v>339039.0</v>
      </c>
      <c r="I61" s="17" t="s">
        <v>110</v>
      </c>
      <c r="J61" s="17">
        <v>1.0E9</v>
      </c>
      <c r="K61" s="17">
        <v>157909.0</v>
      </c>
      <c r="L61" s="17" t="s">
        <v>112</v>
      </c>
      <c r="M61" s="17" t="s">
        <v>102</v>
      </c>
      <c r="N61" s="26"/>
      <c r="O61" s="26"/>
      <c r="P61" s="26"/>
      <c r="Q61" s="28">
        <v>131075.73</v>
      </c>
      <c r="R61" s="28">
        <v>70235.19</v>
      </c>
      <c r="S61" s="28">
        <v>70235.19</v>
      </c>
      <c r="T61" s="28">
        <v>37346.58</v>
      </c>
      <c r="U61" s="28">
        <v>0.0</v>
      </c>
      <c r="V61" s="26"/>
      <c r="W61" s="26"/>
      <c r="X61" s="26"/>
      <c r="Y61" s="26"/>
      <c r="Z61" s="28">
        <v>440896.69</v>
      </c>
      <c r="AA61" s="28">
        <v>581056.92</v>
      </c>
      <c r="AB61" s="39">
        <v>140160.23</v>
      </c>
      <c r="AC61" s="45" t="str">
        <f t="shared" si="1"/>
        <v>2026NE000082</v>
      </c>
    </row>
    <row r="62" ht="15.75" customHeight="1">
      <c r="A62" s="17" t="s">
        <v>391</v>
      </c>
      <c r="B62" s="17" t="s">
        <v>394</v>
      </c>
      <c r="C62" s="17" t="s">
        <v>395</v>
      </c>
      <c r="D62" s="17" t="s">
        <v>311</v>
      </c>
      <c r="E62" s="17">
        <v>230386.0</v>
      </c>
      <c r="F62" s="17" t="s">
        <v>94</v>
      </c>
      <c r="G62" s="17" t="s">
        <v>163</v>
      </c>
      <c r="H62" s="17">
        <v>339039.0</v>
      </c>
      <c r="I62" s="17" t="s">
        <v>110</v>
      </c>
      <c r="J62" s="17">
        <v>1.0E9</v>
      </c>
      <c r="K62" s="17">
        <v>151928.0</v>
      </c>
      <c r="L62" s="17" t="s">
        <v>164</v>
      </c>
      <c r="M62" s="17" t="s">
        <v>96</v>
      </c>
      <c r="N62" s="26"/>
      <c r="O62" s="26"/>
      <c r="P62" s="26"/>
      <c r="Q62" s="28">
        <v>3199.0</v>
      </c>
      <c r="R62" s="28">
        <v>0.0</v>
      </c>
      <c r="S62" s="28">
        <v>0.0</v>
      </c>
      <c r="T62" s="28">
        <v>0.0</v>
      </c>
      <c r="U62" s="28">
        <v>0.0</v>
      </c>
      <c r="V62" s="26"/>
      <c r="W62" s="26"/>
      <c r="X62" s="26"/>
      <c r="Y62" s="26"/>
      <c r="Z62" s="28">
        <v>6222.46</v>
      </c>
      <c r="AA62" s="28">
        <v>7500.5</v>
      </c>
      <c r="AB62" s="39">
        <v>1278.04</v>
      </c>
      <c r="AC62" s="45" t="str">
        <f t="shared" si="1"/>
        <v>2026NE000112</v>
      </c>
    </row>
    <row r="63" ht="15.75" customHeight="1">
      <c r="A63" s="17" t="s">
        <v>391</v>
      </c>
      <c r="B63" s="17" t="s">
        <v>399</v>
      </c>
      <c r="C63" s="17" t="s">
        <v>400</v>
      </c>
      <c r="D63" s="17" t="s">
        <v>401</v>
      </c>
      <c r="E63" s="17">
        <v>230390.0</v>
      </c>
      <c r="F63" s="17" t="s">
        <v>69</v>
      </c>
      <c r="G63" s="17" t="s">
        <v>70</v>
      </c>
      <c r="H63" s="17">
        <v>339092.0</v>
      </c>
      <c r="I63" s="17" t="s">
        <v>117</v>
      </c>
      <c r="J63" s="17">
        <v>1.0E9</v>
      </c>
      <c r="K63" s="17">
        <v>157909.0</v>
      </c>
      <c r="L63" s="17" t="s">
        <v>112</v>
      </c>
      <c r="M63" s="17" t="s">
        <v>102</v>
      </c>
      <c r="N63" s="26"/>
      <c r="O63" s="26"/>
      <c r="P63" s="26"/>
      <c r="Q63" s="26"/>
      <c r="R63" s="28">
        <v>0.0</v>
      </c>
      <c r="S63" s="28">
        <v>0.0</v>
      </c>
      <c r="T63" s="28">
        <v>0.0</v>
      </c>
      <c r="U63" s="28">
        <v>0.0</v>
      </c>
      <c r="V63" s="26"/>
      <c r="W63" s="26"/>
      <c r="X63" s="26"/>
      <c r="Y63" s="26"/>
      <c r="Z63" s="28">
        <v>3799.47</v>
      </c>
      <c r="AA63" s="28">
        <v>3799.47</v>
      </c>
      <c r="AB63" s="39">
        <v>0.0</v>
      </c>
      <c r="AC63" s="45" t="str">
        <f t="shared" si="1"/>
        <v>2026NE000320</v>
      </c>
    </row>
    <row r="64" ht="15.75" customHeight="1">
      <c r="A64" s="17" t="s">
        <v>402</v>
      </c>
      <c r="B64" s="17" t="s">
        <v>403</v>
      </c>
      <c r="C64" s="17" t="s">
        <v>404</v>
      </c>
      <c r="D64" s="17" t="s">
        <v>405</v>
      </c>
      <c r="E64" s="17">
        <v>230390.0</v>
      </c>
      <c r="F64" s="17" t="s">
        <v>69</v>
      </c>
      <c r="G64" s="17" t="s">
        <v>70</v>
      </c>
      <c r="H64" s="17">
        <v>339040.0</v>
      </c>
      <c r="I64" s="17" t="s">
        <v>73</v>
      </c>
      <c r="J64" s="17">
        <v>1.0E9</v>
      </c>
      <c r="K64" s="17">
        <v>157742.0</v>
      </c>
      <c r="L64" s="17" t="s">
        <v>249</v>
      </c>
      <c r="M64" s="17" t="s">
        <v>82</v>
      </c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>
        <v>12600.0</v>
      </c>
      <c r="AB64" s="39">
        <v>12600.0</v>
      </c>
      <c r="AC64" s="45" t="str">
        <f t="shared" si="1"/>
        <v>2026NE000167</v>
      </c>
    </row>
    <row r="65" ht="15.75" customHeight="1">
      <c r="A65" s="17" t="s">
        <v>406</v>
      </c>
      <c r="B65" s="17" t="s">
        <v>407</v>
      </c>
      <c r="C65" s="17" t="s">
        <v>408</v>
      </c>
      <c r="D65" s="17" t="s">
        <v>67</v>
      </c>
      <c r="E65" s="17">
        <v>230390.0</v>
      </c>
      <c r="F65" s="17" t="s">
        <v>69</v>
      </c>
      <c r="G65" s="17" t="s">
        <v>70</v>
      </c>
      <c r="H65" s="17">
        <v>339039.0</v>
      </c>
      <c r="I65" s="17" t="s">
        <v>110</v>
      </c>
      <c r="J65" s="17">
        <v>1.0E9</v>
      </c>
      <c r="K65" s="17">
        <v>158647.0</v>
      </c>
      <c r="L65" s="17" t="s">
        <v>186</v>
      </c>
      <c r="M65" s="17" t="s">
        <v>102</v>
      </c>
      <c r="N65" s="26"/>
      <c r="O65" s="28">
        <v>348839.96</v>
      </c>
      <c r="P65" s="28">
        <v>0.0</v>
      </c>
      <c r="Q65" s="28">
        <v>697679.9</v>
      </c>
      <c r="R65" s="28">
        <v>348839.95</v>
      </c>
      <c r="S65" s="28">
        <v>348839.95</v>
      </c>
      <c r="T65" s="28">
        <v>348839.95</v>
      </c>
      <c r="U65" s="28">
        <v>0.0</v>
      </c>
      <c r="V65" s="26"/>
      <c r="W65" s="26"/>
      <c r="X65" s="26"/>
      <c r="Y65" s="26"/>
      <c r="Z65" s="28">
        <v>2093039.71</v>
      </c>
      <c r="AA65" s="28">
        <v>2093640.48</v>
      </c>
      <c r="AB65" s="39">
        <v>600.77</v>
      </c>
      <c r="AC65" s="45" t="str">
        <f t="shared" si="1"/>
        <v>2026NE000081</v>
      </c>
    </row>
    <row r="66" ht="15.75" customHeight="1">
      <c r="A66" s="17" t="s">
        <v>406</v>
      </c>
      <c r="B66" s="17" t="s">
        <v>412</v>
      </c>
      <c r="C66" s="17" t="s">
        <v>413</v>
      </c>
      <c r="D66" s="17" t="s">
        <v>414</v>
      </c>
      <c r="E66" s="17">
        <v>230390.0</v>
      </c>
      <c r="F66" s="17" t="s">
        <v>69</v>
      </c>
      <c r="G66" s="17" t="s">
        <v>70</v>
      </c>
      <c r="H66" s="17">
        <v>339092.0</v>
      </c>
      <c r="I66" s="17" t="s">
        <v>117</v>
      </c>
      <c r="J66" s="17">
        <v>1.0E9</v>
      </c>
      <c r="K66" s="17">
        <v>158647.0</v>
      </c>
      <c r="L66" s="17" t="s">
        <v>186</v>
      </c>
      <c r="M66" s="17" t="s">
        <v>102</v>
      </c>
      <c r="N66" s="26"/>
      <c r="O66" s="26"/>
      <c r="P66" s="28">
        <v>127953.84</v>
      </c>
      <c r="Q66" s="28">
        <v>0.0</v>
      </c>
      <c r="R66" s="28">
        <v>0.0</v>
      </c>
      <c r="S66" s="28">
        <v>0.0</v>
      </c>
      <c r="T66" s="28">
        <v>0.0</v>
      </c>
      <c r="U66" s="28">
        <v>0.0</v>
      </c>
      <c r="V66" s="26"/>
      <c r="W66" s="26"/>
      <c r="X66" s="26"/>
      <c r="Y66" s="26"/>
      <c r="Z66" s="28">
        <v>127953.84</v>
      </c>
      <c r="AA66" s="28">
        <v>127953.84</v>
      </c>
      <c r="AB66" s="39">
        <v>0.0</v>
      </c>
      <c r="AC66" s="45" t="str">
        <f t="shared" si="1"/>
        <v>2026NE000203</v>
      </c>
    </row>
    <row r="67" ht="15.75" customHeight="1">
      <c r="A67" s="17" t="s">
        <v>415</v>
      </c>
      <c r="B67" s="17" t="s">
        <v>416</v>
      </c>
      <c r="C67" s="17" t="s">
        <v>417</v>
      </c>
      <c r="D67" s="17" t="s">
        <v>125</v>
      </c>
      <c r="E67" s="17">
        <v>230400.0</v>
      </c>
      <c r="F67" s="17">
        <v>4002.0</v>
      </c>
      <c r="G67" s="17" t="s">
        <v>126</v>
      </c>
      <c r="H67" s="17">
        <v>339039.0</v>
      </c>
      <c r="I67" s="17" t="s">
        <v>110</v>
      </c>
      <c r="J67" s="17">
        <v>1.0E9</v>
      </c>
      <c r="K67" s="17">
        <v>157725.0</v>
      </c>
      <c r="L67" s="17" t="s">
        <v>127</v>
      </c>
      <c r="M67" s="17" t="s">
        <v>128</v>
      </c>
      <c r="N67" s="26"/>
      <c r="O67" s="28">
        <v>1150.0</v>
      </c>
      <c r="P67" s="28">
        <v>1201.29</v>
      </c>
      <c r="Q67" s="28">
        <v>1201.29</v>
      </c>
      <c r="R67" s="28">
        <v>0.0</v>
      </c>
      <c r="S67" s="28">
        <v>0.0</v>
      </c>
      <c r="T67" s="28">
        <v>2402.58</v>
      </c>
      <c r="U67" s="28">
        <v>1201.29</v>
      </c>
      <c r="V67" s="26"/>
      <c r="W67" s="26"/>
      <c r="X67" s="26"/>
      <c r="Y67" s="26"/>
      <c r="Z67" s="28">
        <v>8357.74</v>
      </c>
      <c r="AA67" s="28">
        <v>12000.48</v>
      </c>
      <c r="AB67" s="39">
        <v>3642.74</v>
      </c>
      <c r="AC67" s="45" t="str">
        <f t="shared" si="1"/>
        <v>2026NE000154</v>
      </c>
    </row>
    <row r="68" ht="15.75" customHeight="1">
      <c r="A68" s="17" t="s">
        <v>422</v>
      </c>
      <c r="B68" s="17" t="s">
        <v>423</v>
      </c>
      <c r="C68" s="17" t="s">
        <v>425</v>
      </c>
      <c r="D68" s="17" t="s">
        <v>426</v>
      </c>
      <c r="E68" s="17">
        <v>230390.0</v>
      </c>
      <c r="F68" s="17" t="s">
        <v>69</v>
      </c>
      <c r="G68" s="17" t="s">
        <v>70</v>
      </c>
      <c r="H68" s="17">
        <v>339037.0</v>
      </c>
      <c r="I68" s="17" t="s">
        <v>284</v>
      </c>
      <c r="J68" s="17">
        <v>1.0E9</v>
      </c>
      <c r="K68" s="17">
        <v>157909.0</v>
      </c>
      <c r="L68" s="17" t="s">
        <v>112</v>
      </c>
      <c r="M68" s="17" t="s">
        <v>102</v>
      </c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>
        <v>0.0</v>
      </c>
      <c r="AB68" s="39">
        <v>0.0</v>
      </c>
      <c r="AC68" s="45" t="str">
        <f t="shared" si="1"/>
        <v>2026NE000423</v>
      </c>
    </row>
    <row r="69" ht="15.75" customHeight="1">
      <c r="A69" s="17" t="s">
        <v>422</v>
      </c>
      <c r="B69" s="17" t="s">
        <v>427</v>
      </c>
      <c r="C69" s="17" t="s">
        <v>425</v>
      </c>
      <c r="D69" s="17" t="s">
        <v>426</v>
      </c>
      <c r="E69" s="17">
        <v>230386.0</v>
      </c>
      <c r="F69" s="17" t="s">
        <v>94</v>
      </c>
      <c r="G69" s="17" t="s">
        <v>163</v>
      </c>
      <c r="H69" s="17">
        <v>339037.0</v>
      </c>
      <c r="I69" s="17" t="s">
        <v>284</v>
      </c>
      <c r="J69" s="17">
        <v>1.0E9</v>
      </c>
      <c r="K69" s="17">
        <v>151928.0</v>
      </c>
      <c r="L69" s="17" t="s">
        <v>164</v>
      </c>
      <c r="M69" s="17" t="s">
        <v>96</v>
      </c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>
        <v>0.0</v>
      </c>
      <c r="AB69" s="39">
        <v>0.0</v>
      </c>
      <c r="AC69" s="45" t="str">
        <f t="shared" si="1"/>
        <v>2026NE000424</v>
      </c>
    </row>
    <row r="70" ht="15.75" customHeight="1">
      <c r="A70" s="17" t="s">
        <v>422</v>
      </c>
      <c r="B70" s="17" t="s">
        <v>428</v>
      </c>
      <c r="C70" s="17" t="s">
        <v>425</v>
      </c>
      <c r="D70" s="17" t="s">
        <v>426</v>
      </c>
      <c r="E70" s="17">
        <v>230390.0</v>
      </c>
      <c r="F70" s="17" t="s">
        <v>69</v>
      </c>
      <c r="G70" s="17" t="s">
        <v>70</v>
      </c>
      <c r="H70" s="17">
        <v>339037.0</v>
      </c>
      <c r="I70" s="17" t="s">
        <v>284</v>
      </c>
      <c r="J70" s="17">
        <v>1.0E9</v>
      </c>
      <c r="K70" s="17">
        <v>157909.0</v>
      </c>
      <c r="L70" s="17" t="s">
        <v>112</v>
      </c>
      <c r="M70" s="17" t="s">
        <v>102</v>
      </c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>
        <v>792141.84</v>
      </c>
      <c r="AB70" s="39">
        <v>792141.84</v>
      </c>
      <c r="AC70" s="45" t="str">
        <f t="shared" si="1"/>
        <v>2026NE000425</v>
      </c>
    </row>
    <row r="71" ht="15.75" customHeight="1">
      <c r="A71" s="17" t="s">
        <v>422</v>
      </c>
      <c r="B71" s="17" t="s">
        <v>432</v>
      </c>
      <c r="C71" s="17" t="s">
        <v>425</v>
      </c>
      <c r="D71" s="17" t="s">
        <v>426</v>
      </c>
      <c r="E71" s="17">
        <v>230386.0</v>
      </c>
      <c r="F71" s="17" t="s">
        <v>94</v>
      </c>
      <c r="G71" s="17" t="s">
        <v>163</v>
      </c>
      <c r="H71" s="17">
        <v>339037.0</v>
      </c>
      <c r="I71" s="17" t="s">
        <v>284</v>
      </c>
      <c r="J71" s="17">
        <v>1.0E9</v>
      </c>
      <c r="K71" s="17">
        <v>151928.0</v>
      </c>
      <c r="L71" s="17" t="s">
        <v>164</v>
      </c>
      <c r="M71" s="17" t="s">
        <v>96</v>
      </c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>
        <v>19801.78</v>
      </c>
      <c r="AB71" s="39">
        <v>19801.78</v>
      </c>
      <c r="AC71" s="45" t="str">
        <f t="shared" si="1"/>
        <v>2026NE000426</v>
      </c>
    </row>
    <row r="72" ht="15.75" customHeight="1">
      <c r="A72" s="17" t="s">
        <v>433</v>
      </c>
      <c r="B72" s="17" t="s">
        <v>434</v>
      </c>
      <c r="C72" s="17" t="s">
        <v>435</v>
      </c>
      <c r="D72" s="17" t="s">
        <v>67</v>
      </c>
      <c r="E72" s="17">
        <v>230390.0</v>
      </c>
      <c r="F72" s="17" t="s">
        <v>69</v>
      </c>
      <c r="G72" s="17" t="s">
        <v>70</v>
      </c>
      <c r="H72" s="17">
        <v>339037.0</v>
      </c>
      <c r="I72" s="17" t="s">
        <v>284</v>
      </c>
      <c r="J72" s="17">
        <v>1.0E9</v>
      </c>
      <c r="K72" s="17">
        <v>157909.0</v>
      </c>
      <c r="L72" s="17" t="s">
        <v>112</v>
      </c>
      <c r="M72" s="17" t="s">
        <v>102</v>
      </c>
      <c r="N72" s="26"/>
      <c r="O72" s="26"/>
      <c r="P72" s="26"/>
      <c r="Q72" s="28">
        <v>573142.22</v>
      </c>
      <c r="R72" s="28">
        <v>0.0</v>
      </c>
      <c r="S72" s="28">
        <v>0.0</v>
      </c>
      <c r="T72" s="28">
        <v>1183819.1</v>
      </c>
      <c r="U72" s="28">
        <v>0.0</v>
      </c>
      <c r="V72" s="26"/>
      <c r="W72" s="26"/>
      <c r="X72" s="26"/>
      <c r="Y72" s="26"/>
      <c r="Z72" s="28">
        <v>1756961.32</v>
      </c>
      <c r="AA72" s="28">
        <v>3845294.88</v>
      </c>
      <c r="AB72" s="39">
        <v>2088333.56</v>
      </c>
      <c r="AC72" s="45" t="str">
        <f t="shared" si="1"/>
        <v>2026NE000095</v>
      </c>
    </row>
    <row r="73" ht="15.75" customHeight="1">
      <c r="A73" s="17" t="s">
        <v>433</v>
      </c>
      <c r="B73" s="17" t="s">
        <v>437</v>
      </c>
      <c r="C73" s="17" t="s">
        <v>439</v>
      </c>
      <c r="D73" s="17" t="s">
        <v>67</v>
      </c>
      <c r="E73" s="17">
        <v>230390.0</v>
      </c>
      <c r="F73" s="17" t="s">
        <v>69</v>
      </c>
      <c r="G73" s="17" t="s">
        <v>70</v>
      </c>
      <c r="H73" s="17">
        <v>339037.0</v>
      </c>
      <c r="I73" s="17" t="s">
        <v>284</v>
      </c>
      <c r="J73" s="17">
        <v>1.0E9</v>
      </c>
      <c r="K73" s="17">
        <v>157909.0</v>
      </c>
      <c r="L73" s="17" t="s">
        <v>112</v>
      </c>
      <c r="M73" s="17" t="s">
        <v>102</v>
      </c>
      <c r="N73" s="26"/>
      <c r="O73" s="26"/>
      <c r="P73" s="28">
        <v>261062.97</v>
      </c>
      <c r="Q73" s="28">
        <v>0.0</v>
      </c>
      <c r="R73" s="28">
        <v>774546.43</v>
      </c>
      <c r="S73" s="28">
        <v>774546.43</v>
      </c>
      <c r="T73" s="28">
        <v>558723.5</v>
      </c>
      <c r="U73" s="28">
        <v>0.0</v>
      </c>
      <c r="V73" s="26"/>
      <c r="W73" s="26"/>
      <c r="X73" s="26"/>
      <c r="Y73" s="26"/>
      <c r="Z73" s="28">
        <v>1594332.9</v>
      </c>
      <c r="AA73" s="28">
        <v>1810861.92</v>
      </c>
      <c r="AB73" s="39">
        <v>216529.02</v>
      </c>
      <c r="AC73" s="45" t="str">
        <f t="shared" si="1"/>
        <v>2026NE000097</v>
      </c>
    </row>
    <row r="74" ht="15.75" customHeight="1">
      <c r="A74" s="17" t="s">
        <v>433</v>
      </c>
      <c r="B74" s="17" t="s">
        <v>441</v>
      </c>
      <c r="C74" s="17" t="s">
        <v>442</v>
      </c>
      <c r="D74" s="17" t="s">
        <v>67</v>
      </c>
      <c r="E74" s="17">
        <v>230390.0</v>
      </c>
      <c r="F74" s="17" t="s">
        <v>69</v>
      </c>
      <c r="G74" s="17" t="s">
        <v>70</v>
      </c>
      <c r="H74" s="17">
        <v>339037.0</v>
      </c>
      <c r="I74" s="17" t="s">
        <v>284</v>
      </c>
      <c r="J74" s="17">
        <v>1.0E9</v>
      </c>
      <c r="K74" s="17">
        <v>157909.0</v>
      </c>
      <c r="L74" s="17" t="s">
        <v>112</v>
      </c>
      <c r="M74" s="17" t="s">
        <v>102</v>
      </c>
      <c r="N74" s="26"/>
      <c r="O74" s="26"/>
      <c r="P74" s="28">
        <v>613257.73</v>
      </c>
      <c r="Q74" s="28">
        <v>703967.15</v>
      </c>
      <c r="R74" s="28">
        <v>800978.99</v>
      </c>
      <c r="S74" s="28">
        <v>800978.99</v>
      </c>
      <c r="T74" s="28">
        <v>1599959.79</v>
      </c>
      <c r="U74" s="28">
        <v>0.0</v>
      </c>
      <c r="V74" s="26"/>
      <c r="W74" s="26"/>
      <c r="X74" s="26"/>
      <c r="Y74" s="26"/>
      <c r="Z74" s="28">
        <v>4502703.96</v>
      </c>
      <c r="AA74" s="28">
        <v>4947782.46</v>
      </c>
      <c r="AB74" s="39">
        <v>445078.5</v>
      </c>
      <c r="AC74" s="45" t="str">
        <f t="shared" si="1"/>
        <v>2026NE000099</v>
      </c>
    </row>
    <row r="75" ht="15.75" customHeight="1">
      <c r="A75" s="17" t="s">
        <v>433</v>
      </c>
      <c r="B75" s="17" t="s">
        <v>449</v>
      </c>
      <c r="C75" s="17" t="s">
        <v>450</v>
      </c>
      <c r="D75" s="17" t="s">
        <v>311</v>
      </c>
      <c r="E75" s="17">
        <v>230386.0</v>
      </c>
      <c r="F75" s="17" t="s">
        <v>94</v>
      </c>
      <c r="G75" s="17" t="s">
        <v>163</v>
      </c>
      <c r="H75" s="17">
        <v>339037.0</v>
      </c>
      <c r="I75" s="17" t="s">
        <v>284</v>
      </c>
      <c r="J75" s="17">
        <v>1.0E9</v>
      </c>
      <c r="K75" s="17">
        <v>151928.0</v>
      </c>
      <c r="L75" s="17" t="s">
        <v>164</v>
      </c>
      <c r="M75" s="17" t="s">
        <v>96</v>
      </c>
      <c r="N75" s="26"/>
      <c r="O75" s="26"/>
      <c r="P75" s="28">
        <v>16103.0</v>
      </c>
      <c r="Q75" s="28">
        <v>18899.77</v>
      </c>
      <c r="R75" s="28">
        <v>20552.45</v>
      </c>
      <c r="S75" s="28">
        <v>20552.45</v>
      </c>
      <c r="T75" s="28">
        <v>41104.9</v>
      </c>
      <c r="U75" s="28">
        <v>0.0</v>
      </c>
      <c r="V75" s="26"/>
      <c r="W75" s="26"/>
      <c r="X75" s="26"/>
      <c r="Y75" s="26"/>
      <c r="Z75" s="28">
        <v>116936.42</v>
      </c>
      <c r="AA75" s="28">
        <v>137817.89</v>
      </c>
      <c r="AB75" s="39">
        <v>20881.47</v>
      </c>
      <c r="AC75" s="45" t="str">
        <f t="shared" si="1"/>
        <v>2026NE000108</v>
      </c>
    </row>
    <row r="76" ht="15.75" customHeight="1">
      <c r="A76" s="17" t="s">
        <v>433</v>
      </c>
      <c r="B76" s="17" t="s">
        <v>451</v>
      </c>
      <c r="C76" s="17" t="s">
        <v>452</v>
      </c>
      <c r="D76" s="17" t="s">
        <v>311</v>
      </c>
      <c r="E76" s="17">
        <v>230386.0</v>
      </c>
      <c r="F76" s="17" t="s">
        <v>94</v>
      </c>
      <c r="G76" s="17" t="s">
        <v>163</v>
      </c>
      <c r="H76" s="17">
        <v>339037.0</v>
      </c>
      <c r="I76" s="17" t="s">
        <v>284</v>
      </c>
      <c r="J76" s="17">
        <v>1.0E9</v>
      </c>
      <c r="K76" s="17">
        <v>151928.0</v>
      </c>
      <c r="L76" s="17" t="s">
        <v>164</v>
      </c>
      <c r="M76" s="17" t="s">
        <v>96</v>
      </c>
      <c r="N76" s="26"/>
      <c r="O76" s="26"/>
      <c r="P76" s="26"/>
      <c r="Q76" s="28">
        <v>20656.26</v>
      </c>
      <c r="R76" s="28">
        <v>0.0</v>
      </c>
      <c r="S76" s="28">
        <v>0.0</v>
      </c>
      <c r="T76" s="28">
        <v>44451.44</v>
      </c>
      <c r="U76" s="28">
        <v>0.0</v>
      </c>
      <c r="V76" s="26"/>
      <c r="W76" s="26"/>
      <c r="X76" s="26"/>
      <c r="Y76" s="26"/>
      <c r="Z76" s="28">
        <v>65107.7</v>
      </c>
      <c r="AA76" s="28">
        <v>87333.42</v>
      </c>
      <c r="AB76" s="39">
        <v>22225.72</v>
      </c>
      <c r="AC76" s="45" t="str">
        <f t="shared" si="1"/>
        <v>2026NE000109</v>
      </c>
    </row>
    <row r="77" ht="15.75" customHeight="1">
      <c r="A77" s="17" t="s">
        <v>433</v>
      </c>
      <c r="B77" s="17" t="s">
        <v>456</v>
      </c>
      <c r="C77" s="17" t="s">
        <v>457</v>
      </c>
      <c r="D77" s="17" t="s">
        <v>311</v>
      </c>
      <c r="E77" s="17">
        <v>230386.0</v>
      </c>
      <c r="F77" s="17" t="s">
        <v>94</v>
      </c>
      <c r="G77" s="17" t="s">
        <v>163</v>
      </c>
      <c r="H77" s="17">
        <v>339037.0</v>
      </c>
      <c r="I77" s="17" t="s">
        <v>284</v>
      </c>
      <c r="J77" s="17">
        <v>1.0E9</v>
      </c>
      <c r="K77" s="17">
        <v>151928.0</v>
      </c>
      <c r="L77" s="17" t="s">
        <v>164</v>
      </c>
      <c r="M77" s="17" t="s">
        <v>96</v>
      </c>
      <c r="N77" s="26"/>
      <c r="O77" s="26"/>
      <c r="P77" s="28">
        <v>18990.75</v>
      </c>
      <c r="Q77" s="28">
        <v>0.0</v>
      </c>
      <c r="R77" s="28">
        <v>56712.98</v>
      </c>
      <c r="S77" s="28">
        <v>56712.98</v>
      </c>
      <c r="T77" s="28">
        <v>40957.22</v>
      </c>
      <c r="U77" s="28">
        <v>0.0</v>
      </c>
      <c r="V77" s="26"/>
      <c r="W77" s="26"/>
      <c r="X77" s="26"/>
      <c r="Y77" s="26"/>
      <c r="Z77" s="28">
        <v>116660.95</v>
      </c>
      <c r="AA77" s="28">
        <v>157617.17</v>
      </c>
      <c r="AB77" s="39">
        <v>40956.22</v>
      </c>
      <c r="AC77" s="45" t="str">
        <f t="shared" si="1"/>
        <v>2026NE000110</v>
      </c>
    </row>
    <row r="78" ht="15.75" customHeight="1">
      <c r="A78" s="17" t="s">
        <v>433</v>
      </c>
      <c r="B78" s="17" t="s">
        <v>462</v>
      </c>
      <c r="C78" s="17" t="s">
        <v>464</v>
      </c>
      <c r="D78" s="17" t="s">
        <v>466</v>
      </c>
      <c r="E78" s="17">
        <v>230390.0</v>
      </c>
      <c r="F78" s="17" t="s">
        <v>69</v>
      </c>
      <c r="G78" s="17" t="s">
        <v>70</v>
      </c>
      <c r="H78" s="17">
        <v>339092.0</v>
      </c>
      <c r="I78" s="17" t="s">
        <v>117</v>
      </c>
      <c r="J78" s="17">
        <v>1.0E9</v>
      </c>
      <c r="K78" s="17">
        <v>157909.0</v>
      </c>
      <c r="L78" s="17" t="s">
        <v>112</v>
      </c>
      <c r="M78" s="17" t="s">
        <v>102</v>
      </c>
      <c r="N78" s="26"/>
      <c r="O78" s="28">
        <v>310204.9</v>
      </c>
      <c r="P78" s="28">
        <v>0.0</v>
      </c>
      <c r="Q78" s="28">
        <v>0.0</v>
      </c>
      <c r="R78" s="28">
        <v>0.0</v>
      </c>
      <c r="S78" s="28">
        <v>0.0</v>
      </c>
      <c r="T78" s="28">
        <v>0.0</v>
      </c>
      <c r="U78" s="28">
        <v>0.0</v>
      </c>
      <c r="V78" s="26"/>
      <c r="W78" s="26"/>
      <c r="X78" s="26"/>
      <c r="Y78" s="26"/>
      <c r="Z78" s="28">
        <v>310204.9</v>
      </c>
      <c r="AA78" s="28">
        <v>310204.9</v>
      </c>
      <c r="AB78" s="39">
        <v>0.0</v>
      </c>
      <c r="AC78" s="45" t="str">
        <f t="shared" si="1"/>
        <v>2026NE000146</v>
      </c>
    </row>
    <row r="79" ht="15.75" customHeight="1">
      <c r="A79" s="17" t="s">
        <v>433</v>
      </c>
      <c r="B79" s="17" t="s">
        <v>467</v>
      </c>
      <c r="C79" s="17" t="s">
        <v>468</v>
      </c>
      <c r="D79" s="17" t="s">
        <v>469</v>
      </c>
      <c r="E79" s="17">
        <v>230386.0</v>
      </c>
      <c r="F79" s="17" t="s">
        <v>94</v>
      </c>
      <c r="G79" s="17" t="s">
        <v>163</v>
      </c>
      <c r="H79" s="17">
        <v>339092.0</v>
      </c>
      <c r="I79" s="17" t="s">
        <v>117</v>
      </c>
      <c r="J79" s="17">
        <v>1.0E9</v>
      </c>
      <c r="K79" s="17">
        <v>151928.0</v>
      </c>
      <c r="L79" s="17" t="s">
        <v>164</v>
      </c>
      <c r="M79" s="17" t="s">
        <v>96</v>
      </c>
      <c r="N79" s="26"/>
      <c r="O79" s="26"/>
      <c r="P79" s="28">
        <v>18990.75</v>
      </c>
      <c r="Q79" s="28">
        <v>0.0</v>
      </c>
      <c r="R79" s="28">
        <v>0.0</v>
      </c>
      <c r="S79" s="28">
        <v>0.0</v>
      </c>
      <c r="T79" s="28">
        <v>0.0</v>
      </c>
      <c r="U79" s="28">
        <v>0.0</v>
      </c>
      <c r="V79" s="26"/>
      <c r="W79" s="26"/>
      <c r="X79" s="26"/>
      <c r="Y79" s="26"/>
      <c r="Z79" s="28">
        <v>18990.75</v>
      </c>
      <c r="AA79" s="28">
        <v>18990.75</v>
      </c>
      <c r="AB79" s="39">
        <v>0.0</v>
      </c>
      <c r="AC79" s="45" t="str">
        <f t="shared" si="1"/>
        <v>2026NE000196</v>
      </c>
    </row>
    <row r="80" ht="15.75" customHeight="1">
      <c r="A80" s="17" t="s">
        <v>433</v>
      </c>
      <c r="B80" s="17" t="s">
        <v>477</v>
      </c>
      <c r="C80" s="17" t="s">
        <v>468</v>
      </c>
      <c r="D80" s="17" t="s">
        <v>469</v>
      </c>
      <c r="E80" s="17">
        <v>230390.0</v>
      </c>
      <c r="F80" s="17" t="s">
        <v>69</v>
      </c>
      <c r="G80" s="17" t="s">
        <v>70</v>
      </c>
      <c r="H80" s="17">
        <v>339092.0</v>
      </c>
      <c r="I80" s="17" t="s">
        <v>117</v>
      </c>
      <c r="J80" s="17">
        <v>1.0E9</v>
      </c>
      <c r="K80" s="17">
        <v>157909.0</v>
      </c>
      <c r="L80" s="17" t="s">
        <v>112</v>
      </c>
      <c r="M80" s="17" t="s">
        <v>102</v>
      </c>
      <c r="N80" s="26"/>
      <c r="O80" s="26"/>
      <c r="P80" s="28">
        <v>4596.1</v>
      </c>
      <c r="Q80" s="28">
        <v>0.0</v>
      </c>
      <c r="R80" s="28">
        <v>0.0</v>
      </c>
      <c r="S80" s="28">
        <v>0.0</v>
      </c>
      <c r="T80" s="28">
        <v>0.0</v>
      </c>
      <c r="U80" s="28">
        <v>0.0</v>
      </c>
      <c r="V80" s="26"/>
      <c r="W80" s="26"/>
      <c r="X80" s="26"/>
      <c r="Y80" s="26"/>
      <c r="Z80" s="28">
        <v>4596.1</v>
      </c>
      <c r="AA80" s="28">
        <v>4596.1</v>
      </c>
      <c r="AB80" s="39">
        <v>0.0</v>
      </c>
      <c r="AC80" s="45" t="str">
        <f t="shared" si="1"/>
        <v>2026NE000197</v>
      </c>
    </row>
    <row r="81" ht="15.75" customHeight="1">
      <c r="A81" s="17" t="s">
        <v>433</v>
      </c>
      <c r="B81" s="17" t="s">
        <v>478</v>
      </c>
      <c r="C81" s="17" t="s">
        <v>479</v>
      </c>
      <c r="D81" s="17" t="s">
        <v>480</v>
      </c>
      <c r="E81" s="17">
        <v>230390.0</v>
      </c>
      <c r="F81" s="17" t="s">
        <v>69</v>
      </c>
      <c r="G81" s="17" t="s">
        <v>70</v>
      </c>
      <c r="H81" s="17">
        <v>339092.0</v>
      </c>
      <c r="I81" s="17" t="s">
        <v>117</v>
      </c>
      <c r="J81" s="17">
        <v>1.0E9</v>
      </c>
      <c r="K81" s="17">
        <v>157909.0</v>
      </c>
      <c r="L81" s="17" t="s">
        <v>112</v>
      </c>
      <c r="M81" s="17" t="s">
        <v>102</v>
      </c>
      <c r="N81" s="26"/>
      <c r="O81" s="26"/>
      <c r="P81" s="26"/>
      <c r="Q81" s="26"/>
      <c r="R81" s="28">
        <v>272764.18</v>
      </c>
      <c r="S81" s="28">
        <v>272764.18</v>
      </c>
      <c r="T81" s="28">
        <v>0.0</v>
      </c>
      <c r="U81" s="28">
        <v>0.0</v>
      </c>
      <c r="V81" s="26"/>
      <c r="W81" s="26"/>
      <c r="X81" s="26"/>
      <c r="Y81" s="26"/>
      <c r="Z81" s="28">
        <v>272764.18</v>
      </c>
      <c r="AA81" s="28">
        <v>273655.18</v>
      </c>
      <c r="AB81" s="39">
        <v>891.0</v>
      </c>
      <c r="AC81" s="45" t="str">
        <f t="shared" si="1"/>
        <v>2026NE000335</v>
      </c>
    </row>
    <row r="82" ht="15.75" customHeight="1">
      <c r="A82" s="17" t="s">
        <v>433</v>
      </c>
      <c r="B82" s="17" t="s">
        <v>484</v>
      </c>
      <c r="C82" s="17" t="s">
        <v>479</v>
      </c>
      <c r="D82" s="17" t="s">
        <v>480</v>
      </c>
      <c r="E82" s="17">
        <v>230386.0</v>
      </c>
      <c r="F82" s="17" t="s">
        <v>94</v>
      </c>
      <c r="G82" s="17" t="s">
        <v>163</v>
      </c>
      <c r="H82" s="17">
        <v>339092.0</v>
      </c>
      <c r="I82" s="17" t="s">
        <v>117</v>
      </c>
      <c r="J82" s="17">
        <v>1.0E9</v>
      </c>
      <c r="K82" s="17">
        <v>151928.0</v>
      </c>
      <c r="L82" s="17" t="s">
        <v>164</v>
      </c>
      <c r="M82" s="17" t="s">
        <v>96</v>
      </c>
      <c r="N82" s="26"/>
      <c r="O82" s="26"/>
      <c r="P82" s="26"/>
      <c r="Q82" s="26"/>
      <c r="R82" s="28">
        <v>17196.44</v>
      </c>
      <c r="S82" s="28">
        <v>17196.44</v>
      </c>
      <c r="T82" s="28">
        <v>0.0</v>
      </c>
      <c r="U82" s="28">
        <v>0.0</v>
      </c>
      <c r="V82" s="26"/>
      <c r="W82" s="26"/>
      <c r="X82" s="26"/>
      <c r="Y82" s="26"/>
      <c r="Z82" s="28">
        <v>17196.44</v>
      </c>
      <c r="AA82" s="28">
        <v>17196.44</v>
      </c>
      <c r="AB82" s="39">
        <v>0.0</v>
      </c>
      <c r="AC82" s="45" t="str">
        <f t="shared" si="1"/>
        <v>2026NE000336</v>
      </c>
    </row>
    <row r="83" ht="15.75" customHeight="1">
      <c r="A83" s="17" t="s">
        <v>433</v>
      </c>
      <c r="B83" s="17" t="s">
        <v>488</v>
      </c>
      <c r="C83" s="17" t="s">
        <v>490</v>
      </c>
      <c r="D83" s="17" t="s">
        <v>491</v>
      </c>
      <c r="E83" s="17">
        <v>230390.0</v>
      </c>
      <c r="F83" s="17" t="s">
        <v>69</v>
      </c>
      <c r="G83" s="17" t="s">
        <v>70</v>
      </c>
      <c r="H83" s="17">
        <v>339092.0</v>
      </c>
      <c r="I83" s="17" t="s">
        <v>117</v>
      </c>
      <c r="J83" s="17">
        <v>1.0E9</v>
      </c>
      <c r="K83" s="17">
        <v>157909.0</v>
      </c>
      <c r="L83" s="17" t="s">
        <v>112</v>
      </c>
      <c r="M83" s="17" t="s">
        <v>102</v>
      </c>
      <c r="N83" s="26"/>
      <c r="O83" s="26"/>
      <c r="P83" s="26"/>
      <c r="Q83" s="26"/>
      <c r="R83" s="28">
        <v>79775.9</v>
      </c>
      <c r="S83" s="28">
        <v>79775.9</v>
      </c>
      <c r="T83" s="28">
        <v>0.0</v>
      </c>
      <c r="U83" s="28">
        <v>0.0</v>
      </c>
      <c r="V83" s="26"/>
      <c r="W83" s="26"/>
      <c r="X83" s="26"/>
      <c r="Y83" s="26"/>
      <c r="Z83" s="28">
        <v>79775.9</v>
      </c>
      <c r="AA83" s="28">
        <v>79775.9</v>
      </c>
      <c r="AB83" s="39">
        <v>0.0</v>
      </c>
      <c r="AC83" s="45" t="str">
        <f t="shared" si="1"/>
        <v>2026NE000347</v>
      </c>
    </row>
    <row r="84" ht="15.75" customHeight="1">
      <c r="A84" s="17" t="s">
        <v>433</v>
      </c>
      <c r="B84" s="17" t="s">
        <v>495</v>
      </c>
      <c r="C84" s="17" t="s">
        <v>490</v>
      </c>
      <c r="D84" s="17" t="s">
        <v>491</v>
      </c>
      <c r="E84" s="17">
        <v>230386.0</v>
      </c>
      <c r="F84" s="17" t="s">
        <v>94</v>
      </c>
      <c r="G84" s="17" t="s">
        <v>163</v>
      </c>
      <c r="H84" s="17">
        <v>339092.0</v>
      </c>
      <c r="I84" s="17" t="s">
        <v>117</v>
      </c>
      <c r="J84" s="17">
        <v>1.0E9</v>
      </c>
      <c r="K84" s="17">
        <v>151928.0</v>
      </c>
      <c r="L84" s="17" t="s">
        <v>164</v>
      </c>
      <c r="M84" s="17" t="s">
        <v>96</v>
      </c>
      <c r="N84" s="26"/>
      <c r="O84" s="26"/>
      <c r="P84" s="26"/>
      <c r="Q84" s="26"/>
      <c r="R84" s="28">
        <v>4133.34</v>
      </c>
      <c r="S84" s="28">
        <v>4133.34</v>
      </c>
      <c r="T84" s="28">
        <v>0.0</v>
      </c>
      <c r="U84" s="28">
        <v>0.0</v>
      </c>
      <c r="V84" s="26"/>
      <c r="W84" s="26"/>
      <c r="X84" s="26"/>
      <c r="Y84" s="26"/>
      <c r="Z84" s="28">
        <v>4133.34</v>
      </c>
      <c r="AA84" s="28">
        <v>4133.34</v>
      </c>
      <c r="AB84" s="39">
        <v>0.0</v>
      </c>
      <c r="AC84" s="45" t="str">
        <f t="shared" si="1"/>
        <v>2026NE000348</v>
      </c>
    </row>
    <row r="85" ht="15.75" customHeight="1">
      <c r="A85" s="17" t="s">
        <v>433</v>
      </c>
      <c r="B85" s="17" t="s">
        <v>496</v>
      </c>
      <c r="C85" s="17" t="s">
        <v>497</v>
      </c>
      <c r="D85" s="17" t="s">
        <v>498</v>
      </c>
      <c r="E85" s="17">
        <v>230386.0</v>
      </c>
      <c r="F85" s="17" t="s">
        <v>94</v>
      </c>
      <c r="G85" s="17" t="s">
        <v>163</v>
      </c>
      <c r="H85" s="17">
        <v>339037.0</v>
      </c>
      <c r="I85" s="17" t="s">
        <v>284</v>
      </c>
      <c r="J85" s="17">
        <v>1.0E9</v>
      </c>
      <c r="K85" s="17">
        <v>151928.0</v>
      </c>
      <c r="L85" s="17" t="s">
        <v>164</v>
      </c>
      <c r="M85" s="17" t="s">
        <v>96</v>
      </c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>
        <v>52701.52</v>
      </c>
      <c r="AB85" s="39">
        <v>52701.52</v>
      </c>
      <c r="AC85" s="45" t="str">
        <f t="shared" si="1"/>
        <v>2026NE000349</v>
      </c>
    </row>
    <row r="86" ht="15.75" customHeight="1">
      <c r="A86" s="17" t="s">
        <v>433</v>
      </c>
      <c r="B86" s="17" t="s">
        <v>502</v>
      </c>
      <c r="C86" s="17" t="s">
        <v>497</v>
      </c>
      <c r="D86" s="17" t="s">
        <v>498</v>
      </c>
      <c r="E86" s="17">
        <v>230390.0</v>
      </c>
      <c r="F86" s="17" t="s">
        <v>69</v>
      </c>
      <c r="G86" s="17" t="s">
        <v>70</v>
      </c>
      <c r="H86" s="17">
        <v>339037.0</v>
      </c>
      <c r="I86" s="17" t="s">
        <v>284</v>
      </c>
      <c r="J86" s="17">
        <v>1.0E9</v>
      </c>
      <c r="K86" s="17">
        <v>157909.0</v>
      </c>
      <c r="L86" s="17" t="s">
        <v>112</v>
      </c>
      <c r="M86" s="17" t="s">
        <v>102</v>
      </c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>
        <v>1516940.26</v>
      </c>
      <c r="AB86" s="39">
        <v>1516940.26</v>
      </c>
      <c r="AC86" s="45" t="str">
        <f t="shared" si="1"/>
        <v>2026NE000350</v>
      </c>
    </row>
    <row r="87" ht="15.75" customHeight="1">
      <c r="A87" s="17" t="s">
        <v>503</v>
      </c>
      <c r="B87" s="17" t="s">
        <v>505</v>
      </c>
      <c r="C87" s="17" t="s">
        <v>506</v>
      </c>
      <c r="D87" s="17" t="s">
        <v>67</v>
      </c>
      <c r="E87" s="17">
        <v>230390.0</v>
      </c>
      <c r="F87" s="17" t="s">
        <v>69</v>
      </c>
      <c r="G87" s="17" t="s">
        <v>70</v>
      </c>
      <c r="H87" s="17">
        <v>339040.0</v>
      </c>
      <c r="I87" s="17" t="s">
        <v>73</v>
      </c>
      <c r="J87" s="17">
        <v>1.0E9</v>
      </c>
      <c r="K87" s="17">
        <v>157742.0</v>
      </c>
      <c r="L87" s="17" t="s">
        <v>249</v>
      </c>
      <c r="M87" s="17" t="s">
        <v>82</v>
      </c>
      <c r="N87" s="26"/>
      <c r="O87" s="28">
        <v>34.86</v>
      </c>
      <c r="P87" s="28">
        <v>132.84</v>
      </c>
      <c r="Q87" s="28">
        <v>34.86</v>
      </c>
      <c r="R87" s="28">
        <v>265.68</v>
      </c>
      <c r="S87" s="28">
        <v>265.68</v>
      </c>
      <c r="T87" s="28">
        <v>167.7</v>
      </c>
      <c r="U87" s="28">
        <v>97.98</v>
      </c>
      <c r="V87" s="26"/>
      <c r="W87" s="26"/>
      <c r="X87" s="26"/>
      <c r="Y87" s="26"/>
      <c r="Z87" s="28">
        <v>797.04</v>
      </c>
      <c r="AA87" s="28">
        <v>1006.87</v>
      </c>
      <c r="AB87" s="39">
        <v>209.83</v>
      </c>
      <c r="AC87" s="45" t="str">
        <f t="shared" si="1"/>
        <v>2026NE000096</v>
      </c>
    </row>
    <row r="88" ht="15.75" customHeight="1">
      <c r="A88" s="17" t="s">
        <v>510</v>
      </c>
      <c r="B88" s="17" t="s">
        <v>511</v>
      </c>
      <c r="C88" s="17" t="s">
        <v>512</v>
      </c>
      <c r="D88" s="17" t="s">
        <v>67</v>
      </c>
      <c r="E88" s="17">
        <v>230390.0</v>
      </c>
      <c r="F88" s="17" t="s">
        <v>69</v>
      </c>
      <c r="G88" s="17" t="s">
        <v>70</v>
      </c>
      <c r="H88" s="17">
        <v>339039.0</v>
      </c>
      <c r="I88" s="17" t="s">
        <v>110</v>
      </c>
      <c r="J88" s="17">
        <v>1.0E9</v>
      </c>
      <c r="K88" s="17">
        <v>157909.0</v>
      </c>
      <c r="L88" s="17" t="s">
        <v>112</v>
      </c>
      <c r="M88" s="17" t="s">
        <v>102</v>
      </c>
      <c r="N88" s="26"/>
      <c r="O88" s="28">
        <v>3869.92</v>
      </c>
      <c r="P88" s="28">
        <v>2546.0</v>
      </c>
      <c r="Q88" s="28">
        <v>5295.68</v>
      </c>
      <c r="R88" s="28">
        <v>8198.12</v>
      </c>
      <c r="S88" s="28">
        <v>8198.12</v>
      </c>
      <c r="T88" s="28">
        <v>6976.04</v>
      </c>
      <c r="U88" s="28">
        <v>0.0</v>
      </c>
      <c r="V88" s="26"/>
      <c r="W88" s="26"/>
      <c r="X88" s="26"/>
      <c r="Y88" s="26"/>
      <c r="Z88" s="28">
        <v>32232.36</v>
      </c>
      <c r="AA88" s="28">
        <v>33240.58</v>
      </c>
      <c r="AB88" s="39">
        <v>1008.22</v>
      </c>
      <c r="AC88" s="45" t="str">
        <f t="shared" si="1"/>
        <v>2026NE000083</v>
      </c>
    </row>
    <row r="89" ht="15.75" customHeight="1">
      <c r="A89" s="17" t="s">
        <v>510</v>
      </c>
      <c r="B89" s="17" t="s">
        <v>514</v>
      </c>
      <c r="C89" s="17" t="s">
        <v>515</v>
      </c>
      <c r="D89" s="17" t="s">
        <v>516</v>
      </c>
      <c r="E89" s="17">
        <v>230390.0</v>
      </c>
      <c r="F89" s="17" t="s">
        <v>69</v>
      </c>
      <c r="G89" s="17" t="s">
        <v>70</v>
      </c>
      <c r="H89" s="17">
        <v>339092.0</v>
      </c>
      <c r="I89" s="17" t="s">
        <v>117</v>
      </c>
      <c r="J89" s="17">
        <v>1.0E9</v>
      </c>
      <c r="K89" s="17">
        <v>157909.0</v>
      </c>
      <c r="L89" s="17" t="s">
        <v>112</v>
      </c>
      <c r="M89" s="17" t="s">
        <v>102</v>
      </c>
      <c r="N89" s="26"/>
      <c r="O89" s="26"/>
      <c r="P89" s="28">
        <v>305.52</v>
      </c>
      <c r="Q89" s="28">
        <v>0.0</v>
      </c>
      <c r="R89" s="28">
        <v>0.0</v>
      </c>
      <c r="S89" s="28">
        <v>0.0</v>
      </c>
      <c r="T89" s="28">
        <v>0.0</v>
      </c>
      <c r="U89" s="28">
        <v>0.0</v>
      </c>
      <c r="V89" s="26"/>
      <c r="W89" s="26"/>
      <c r="X89" s="26"/>
      <c r="Y89" s="26"/>
      <c r="Z89" s="28">
        <v>305.52</v>
      </c>
      <c r="AA89" s="28">
        <v>305.52</v>
      </c>
      <c r="AB89" s="39">
        <v>0.0</v>
      </c>
      <c r="AC89" s="45" t="str">
        <f t="shared" si="1"/>
        <v>2026NE000195</v>
      </c>
    </row>
    <row r="90" ht="15.75" customHeight="1">
      <c r="A90" s="17" t="s">
        <v>520</v>
      </c>
      <c r="B90" s="17" t="s">
        <v>521</v>
      </c>
      <c r="C90" s="17" t="s">
        <v>522</v>
      </c>
      <c r="D90" s="17" t="s">
        <v>523</v>
      </c>
      <c r="E90" s="17">
        <v>230390.0</v>
      </c>
      <c r="F90" s="17" t="s">
        <v>69</v>
      </c>
      <c r="G90" s="17" t="s">
        <v>70</v>
      </c>
      <c r="H90" s="17">
        <v>339040.0</v>
      </c>
      <c r="I90" s="17" t="s">
        <v>73</v>
      </c>
      <c r="J90" s="17">
        <v>1.0E9</v>
      </c>
      <c r="K90" s="17">
        <v>157909.0</v>
      </c>
      <c r="L90" s="17" t="s">
        <v>112</v>
      </c>
      <c r="M90" s="17" t="s">
        <v>82</v>
      </c>
      <c r="N90" s="26"/>
      <c r="O90" s="26"/>
      <c r="P90" s="26"/>
      <c r="Q90" s="28">
        <v>14355.0</v>
      </c>
      <c r="R90" s="28">
        <v>0.0</v>
      </c>
      <c r="S90" s="28">
        <v>0.0</v>
      </c>
      <c r="T90" s="28">
        <v>0.0</v>
      </c>
      <c r="U90" s="28">
        <v>0.0</v>
      </c>
      <c r="V90" s="26"/>
      <c r="W90" s="26"/>
      <c r="X90" s="26"/>
      <c r="Y90" s="26"/>
      <c r="Z90" s="28">
        <v>14355.0</v>
      </c>
      <c r="AA90" s="28">
        <v>14355.0</v>
      </c>
      <c r="AB90" s="39">
        <v>0.0</v>
      </c>
      <c r="AC90" s="45" t="str">
        <f t="shared" si="1"/>
        <v>2026NE000218</v>
      </c>
    </row>
    <row r="91" ht="15.75" customHeight="1">
      <c r="A91" s="17" t="s">
        <v>520</v>
      </c>
      <c r="B91" s="17" t="s">
        <v>524</v>
      </c>
      <c r="C91" s="17" t="s">
        <v>525</v>
      </c>
      <c r="D91" s="17" t="s">
        <v>526</v>
      </c>
      <c r="E91" s="17">
        <v>230390.0</v>
      </c>
      <c r="F91" s="17" t="s">
        <v>69</v>
      </c>
      <c r="G91" s="17" t="s">
        <v>70</v>
      </c>
      <c r="H91" s="17">
        <v>339040.0</v>
      </c>
      <c r="I91" s="17" t="s">
        <v>73</v>
      </c>
      <c r="J91" s="17">
        <v>1.0E9</v>
      </c>
      <c r="K91" s="17">
        <v>157909.0</v>
      </c>
      <c r="L91" s="17" t="s">
        <v>112</v>
      </c>
      <c r="M91" s="17" t="s">
        <v>82</v>
      </c>
      <c r="N91" s="26"/>
      <c r="O91" s="26"/>
      <c r="P91" s="26"/>
      <c r="Q91" s="28">
        <v>14355.0</v>
      </c>
      <c r="R91" s="28">
        <v>0.0</v>
      </c>
      <c r="S91" s="28">
        <v>0.0</v>
      </c>
      <c r="T91" s="28">
        <v>0.0</v>
      </c>
      <c r="U91" s="28">
        <v>0.0</v>
      </c>
      <c r="V91" s="26"/>
      <c r="W91" s="26"/>
      <c r="X91" s="26"/>
      <c r="Y91" s="26"/>
      <c r="Z91" s="28">
        <v>14355.0</v>
      </c>
      <c r="AA91" s="28">
        <v>14355.0</v>
      </c>
      <c r="AB91" s="39">
        <v>0.0</v>
      </c>
      <c r="AC91" s="45" t="str">
        <f t="shared" si="1"/>
        <v>2026NE000219</v>
      </c>
    </row>
    <row r="92" ht="15.75" customHeight="1">
      <c r="A92" s="17" t="s">
        <v>520</v>
      </c>
      <c r="B92" s="17" t="s">
        <v>527</v>
      </c>
      <c r="C92" s="17" t="s">
        <v>528</v>
      </c>
      <c r="D92" s="17" t="s">
        <v>529</v>
      </c>
      <c r="E92" s="17">
        <v>230390.0</v>
      </c>
      <c r="F92" s="17" t="s">
        <v>69</v>
      </c>
      <c r="G92" s="17" t="s">
        <v>70</v>
      </c>
      <c r="H92" s="17">
        <v>339092.0</v>
      </c>
      <c r="I92" s="17" t="s">
        <v>117</v>
      </c>
      <c r="J92" s="17">
        <v>1.0E9</v>
      </c>
      <c r="K92" s="17">
        <v>157909.0</v>
      </c>
      <c r="L92" s="17" t="s">
        <v>112</v>
      </c>
      <c r="M92" s="17" t="s">
        <v>82</v>
      </c>
      <c r="N92" s="26"/>
      <c r="O92" s="26"/>
      <c r="P92" s="26"/>
      <c r="Q92" s="28">
        <v>14355.0</v>
      </c>
      <c r="R92" s="28">
        <v>0.0</v>
      </c>
      <c r="S92" s="28">
        <v>0.0</v>
      </c>
      <c r="T92" s="28">
        <v>0.0</v>
      </c>
      <c r="U92" s="28">
        <v>0.0</v>
      </c>
      <c r="V92" s="26"/>
      <c r="W92" s="26"/>
      <c r="X92" s="26"/>
      <c r="Y92" s="26"/>
      <c r="Z92" s="28">
        <v>14355.0</v>
      </c>
      <c r="AA92" s="28">
        <v>14355.0</v>
      </c>
      <c r="AB92" s="39">
        <v>0.0</v>
      </c>
      <c r="AC92" s="45" t="str">
        <f t="shared" si="1"/>
        <v>2026NE000220</v>
      </c>
    </row>
    <row r="93" ht="15.75" customHeight="1">
      <c r="A93" s="17" t="s">
        <v>520</v>
      </c>
      <c r="B93" s="17" t="s">
        <v>530</v>
      </c>
      <c r="C93" s="17" t="s">
        <v>531</v>
      </c>
      <c r="D93" s="17" t="s">
        <v>532</v>
      </c>
      <c r="E93" s="17">
        <v>230390.0</v>
      </c>
      <c r="F93" s="17" t="s">
        <v>69</v>
      </c>
      <c r="G93" s="17" t="s">
        <v>70</v>
      </c>
      <c r="H93" s="17">
        <v>339092.0</v>
      </c>
      <c r="I93" s="17" t="s">
        <v>117</v>
      </c>
      <c r="J93" s="17">
        <v>1.0E9</v>
      </c>
      <c r="K93" s="17">
        <v>157909.0</v>
      </c>
      <c r="L93" s="17" t="s">
        <v>112</v>
      </c>
      <c r="M93" s="17" t="s">
        <v>82</v>
      </c>
      <c r="N93" s="26"/>
      <c r="O93" s="26"/>
      <c r="P93" s="26"/>
      <c r="Q93" s="28">
        <v>14355.0</v>
      </c>
      <c r="R93" s="28">
        <v>0.0</v>
      </c>
      <c r="S93" s="28">
        <v>0.0</v>
      </c>
      <c r="T93" s="28">
        <v>0.0</v>
      </c>
      <c r="U93" s="28">
        <v>0.0</v>
      </c>
      <c r="V93" s="26"/>
      <c r="W93" s="26"/>
      <c r="X93" s="26"/>
      <c r="Y93" s="26"/>
      <c r="Z93" s="28">
        <v>14355.0</v>
      </c>
      <c r="AA93" s="28">
        <v>14355.0</v>
      </c>
      <c r="AB93" s="39">
        <v>0.0</v>
      </c>
      <c r="AC93" s="45" t="str">
        <f t="shared" si="1"/>
        <v>2026NE000221</v>
      </c>
    </row>
    <row r="94" ht="15.75" customHeight="1">
      <c r="A94" s="17" t="s">
        <v>520</v>
      </c>
      <c r="B94" s="17" t="s">
        <v>533</v>
      </c>
      <c r="C94" s="17" t="s">
        <v>534</v>
      </c>
      <c r="D94" s="17" t="s">
        <v>535</v>
      </c>
      <c r="E94" s="17">
        <v>230390.0</v>
      </c>
      <c r="F94" s="17" t="s">
        <v>69</v>
      </c>
      <c r="G94" s="17" t="s">
        <v>70</v>
      </c>
      <c r="H94" s="17">
        <v>339092.0</v>
      </c>
      <c r="I94" s="17" t="s">
        <v>117</v>
      </c>
      <c r="J94" s="17">
        <v>1.0E9</v>
      </c>
      <c r="K94" s="17">
        <v>157909.0</v>
      </c>
      <c r="L94" s="17" t="s">
        <v>112</v>
      </c>
      <c r="M94" s="17" t="s">
        <v>82</v>
      </c>
      <c r="N94" s="26"/>
      <c r="O94" s="26"/>
      <c r="P94" s="26"/>
      <c r="Q94" s="28">
        <v>14355.0</v>
      </c>
      <c r="R94" s="28">
        <v>0.0</v>
      </c>
      <c r="S94" s="28">
        <v>0.0</v>
      </c>
      <c r="T94" s="28">
        <v>0.0</v>
      </c>
      <c r="U94" s="28">
        <v>0.0</v>
      </c>
      <c r="V94" s="26"/>
      <c r="W94" s="26"/>
      <c r="X94" s="26"/>
      <c r="Y94" s="26"/>
      <c r="Z94" s="28">
        <v>14355.0</v>
      </c>
      <c r="AA94" s="28">
        <v>14355.0</v>
      </c>
      <c r="AB94" s="39">
        <v>0.0</v>
      </c>
      <c r="AC94" s="45" t="str">
        <f t="shared" si="1"/>
        <v>2026NE000222</v>
      </c>
    </row>
    <row r="95" ht="15.75" customHeight="1">
      <c r="A95" s="17" t="s">
        <v>520</v>
      </c>
      <c r="B95" s="17" t="s">
        <v>536</v>
      </c>
      <c r="C95" s="17" t="s">
        <v>537</v>
      </c>
      <c r="D95" s="17" t="s">
        <v>538</v>
      </c>
      <c r="E95" s="17">
        <v>230390.0</v>
      </c>
      <c r="F95" s="17" t="s">
        <v>69</v>
      </c>
      <c r="G95" s="17" t="s">
        <v>70</v>
      </c>
      <c r="H95" s="17">
        <v>339092.0</v>
      </c>
      <c r="I95" s="17" t="s">
        <v>117</v>
      </c>
      <c r="J95" s="17">
        <v>1.0E9</v>
      </c>
      <c r="K95" s="17">
        <v>157909.0</v>
      </c>
      <c r="L95" s="17" t="s">
        <v>112</v>
      </c>
      <c r="M95" s="17" t="s">
        <v>82</v>
      </c>
      <c r="N95" s="26"/>
      <c r="O95" s="26"/>
      <c r="P95" s="26"/>
      <c r="Q95" s="28">
        <v>14355.0</v>
      </c>
      <c r="R95" s="28">
        <v>0.0</v>
      </c>
      <c r="S95" s="28">
        <v>0.0</v>
      </c>
      <c r="T95" s="28">
        <v>0.0</v>
      </c>
      <c r="U95" s="28">
        <v>0.0</v>
      </c>
      <c r="V95" s="26"/>
      <c r="W95" s="26"/>
      <c r="X95" s="26"/>
      <c r="Y95" s="26"/>
      <c r="Z95" s="28">
        <v>14355.0</v>
      </c>
      <c r="AA95" s="28">
        <v>14355.0</v>
      </c>
      <c r="AB95" s="39">
        <v>0.0</v>
      </c>
      <c r="AC95" s="45" t="str">
        <f t="shared" si="1"/>
        <v>2026NE000223</v>
      </c>
    </row>
    <row r="96" ht="15.75" customHeight="1">
      <c r="A96" s="17" t="s">
        <v>520</v>
      </c>
      <c r="B96" s="17" t="s">
        <v>539</v>
      </c>
      <c r="C96" s="17" t="s">
        <v>540</v>
      </c>
      <c r="D96" s="17" t="s">
        <v>541</v>
      </c>
      <c r="E96" s="17">
        <v>230390.0</v>
      </c>
      <c r="F96" s="17" t="s">
        <v>69</v>
      </c>
      <c r="G96" s="17" t="s">
        <v>70</v>
      </c>
      <c r="H96" s="17">
        <v>339092.0</v>
      </c>
      <c r="I96" s="17" t="s">
        <v>117</v>
      </c>
      <c r="J96" s="17">
        <v>1.0E9</v>
      </c>
      <c r="K96" s="17">
        <v>157909.0</v>
      </c>
      <c r="L96" s="17" t="s">
        <v>112</v>
      </c>
      <c r="M96" s="17" t="s">
        <v>82</v>
      </c>
      <c r="N96" s="26"/>
      <c r="O96" s="26"/>
      <c r="P96" s="26"/>
      <c r="Q96" s="28">
        <v>14355.0</v>
      </c>
      <c r="R96" s="28">
        <v>0.0</v>
      </c>
      <c r="S96" s="28">
        <v>0.0</v>
      </c>
      <c r="T96" s="28">
        <v>0.0</v>
      </c>
      <c r="U96" s="28">
        <v>0.0</v>
      </c>
      <c r="V96" s="26"/>
      <c r="W96" s="26"/>
      <c r="X96" s="26"/>
      <c r="Y96" s="26"/>
      <c r="Z96" s="28">
        <v>14355.0</v>
      </c>
      <c r="AA96" s="28">
        <v>14355.0</v>
      </c>
      <c r="AB96" s="39">
        <v>0.0</v>
      </c>
      <c r="AC96" s="45" t="str">
        <f t="shared" si="1"/>
        <v>2026NE000224</v>
      </c>
    </row>
    <row r="97" ht="15.75" customHeight="1">
      <c r="A97" s="17" t="s">
        <v>520</v>
      </c>
      <c r="B97" s="17" t="s">
        <v>542</v>
      </c>
      <c r="C97" s="17" t="s">
        <v>543</v>
      </c>
      <c r="D97" s="17" t="s">
        <v>544</v>
      </c>
      <c r="E97" s="17">
        <v>230390.0</v>
      </c>
      <c r="F97" s="17" t="s">
        <v>69</v>
      </c>
      <c r="G97" s="17" t="s">
        <v>70</v>
      </c>
      <c r="H97" s="17">
        <v>339092.0</v>
      </c>
      <c r="I97" s="17" t="s">
        <v>117</v>
      </c>
      <c r="J97" s="17">
        <v>1.0E9</v>
      </c>
      <c r="K97" s="17">
        <v>157909.0</v>
      </c>
      <c r="L97" s="17" t="s">
        <v>112</v>
      </c>
      <c r="M97" s="17" t="s">
        <v>82</v>
      </c>
      <c r="N97" s="26"/>
      <c r="O97" s="26"/>
      <c r="P97" s="26"/>
      <c r="Q97" s="28">
        <v>14355.0</v>
      </c>
      <c r="R97" s="28">
        <v>0.0</v>
      </c>
      <c r="S97" s="28">
        <v>0.0</v>
      </c>
      <c r="T97" s="28">
        <v>0.0</v>
      </c>
      <c r="U97" s="28">
        <v>0.0</v>
      </c>
      <c r="V97" s="26"/>
      <c r="W97" s="26"/>
      <c r="X97" s="26"/>
      <c r="Y97" s="26"/>
      <c r="Z97" s="28">
        <v>14355.0</v>
      </c>
      <c r="AA97" s="28">
        <v>14355.0</v>
      </c>
      <c r="AB97" s="39">
        <v>0.0</v>
      </c>
      <c r="AC97" s="45" t="str">
        <f t="shared" si="1"/>
        <v>2026NE000225</v>
      </c>
    </row>
    <row r="98" ht="15.75" customHeight="1">
      <c r="A98" s="17" t="s">
        <v>520</v>
      </c>
      <c r="B98" s="17" t="s">
        <v>545</v>
      </c>
      <c r="C98" s="17" t="s">
        <v>546</v>
      </c>
      <c r="D98" s="17" t="s">
        <v>547</v>
      </c>
      <c r="E98" s="17">
        <v>230390.0</v>
      </c>
      <c r="F98" s="17" t="s">
        <v>69</v>
      </c>
      <c r="G98" s="17" t="s">
        <v>70</v>
      </c>
      <c r="H98" s="17">
        <v>339092.0</v>
      </c>
      <c r="I98" s="17" t="s">
        <v>117</v>
      </c>
      <c r="J98" s="17">
        <v>1.0E9</v>
      </c>
      <c r="K98" s="17">
        <v>157909.0</v>
      </c>
      <c r="L98" s="17" t="s">
        <v>112</v>
      </c>
      <c r="M98" s="17" t="s">
        <v>82</v>
      </c>
      <c r="N98" s="26"/>
      <c r="O98" s="26"/>
      <c r="P98" s="26"/>
      <c r="Q98" s="28">
        <v>8628.0</v>
      </c>
      <c r="R98" s="28">
        <v>0.0</v>
      </c>
      <c r="S98" s="28">
        <v>0.0</v>
      </c>
      <c r="T98" s="28">
        <v>0.0</v>
      </c>
      <c r="U98" s="28">
        <v>0.0</v>
      </c>
      <c r="V98" s="26"/>
      <c r="W98" s="26"/>
      <c r="X98" s="26"/>
      <c r="Y98" s="26"/>
      <c r="Z98" s="28">
        <v>8628.0</v>
      </c>
      <c r="AA98" s="28">
        <v>8628.0</v>
      </c>
      <c r="AB98" s="39">
        <v>0.0</v>
      </c>
      <c r="AC98" s="94" t="str">
        <f t="shared" si="1"/>
        <v>2026NE000226</v>
      </c>
    </row>
    <row r="99" ht="15.75" customHeight="1">
      <c r="A99" s="17" t="s">
        <v>520</v>
      </c>
      <c r="B99" s="17" t="s">
        <v>548</v>
      </c>
      <c r="C99" s="17" t="s">
        <v>549</v>
      </c>
      <c r="D99" s="17" t="s">
        <v>550</v>
      </c>
      <c r="E99" s="17">
        <v>230390.0</v>
      </c>
      <c r="F99" s="17" t="s">
        <v>69</v>
      </c>
      <c r="G99" s="17" t="s">
        <v>70</v>
      </c>
      <c r="H99" s="17">
        <v>339092.0</v>
      </c>
      <c r="I99" s="17" t="s">
        <v>117</v>
      </c>
      <c r="J99" s="17">
        <v>1.0E9</v>
      </c>
      <c r="K99" s="17">
        <v>157909.0</v>
      </c>
      <c r="L99" s="17" t="s">
        <v>112</v>
      </c>
      <c r="M99" s="17" t="s">
        <v>82</v>
      </c>
      <c r="N99" s="26"/>
      <c r="O99" s="26"/>
      <c r="P99" s="26"/>
      <c r="Q99" s="28">
        <v>14355.0</v>
      </c>
      <c r="R99" s="28">
        <v>0.0</v>
      </c>
      <c r="S99" s="28">
        <v>0.0</v>
      </c>
      <c r="T99" s="28">
        <v>0.0</v>
      </c>
      <c r="U99" s="28">
        <v>0.0</v>
      </c>
      <c r="V99" s="26"/>
      <c r="W99" s="26"/>
      <c r="X99" s="26"/>
      <c r="Y99" s="26"/>
      <c r="Z99" s="28">
        <v>14355.0</v>
      </c>
      <c r="AA99" s="28">
        <v>14355.0</v>
      </c>
      <c r="AB99" s="39">
        <v>0.0</v>
      </c>
      <c r="AC99" s="95" t="str">
        <f t="shared" si="1"/>
        <v>2026NE000227</v>
      </c>
    </row>
    <row r="100" ht="15.75" customHeight="1">
      <c r="A100" s="17" t="s">
        <v>520</v>
      </c>
      <c r="B100" s="17" t="s">
        <v>551</v>
      </c>
      <c r="C100" s="17" t="s">
        <v>552</v>
      </c>
      <c r="D100" s="17" t="s">
        <v>553</v>
      </c>
      <c r="E100" s="17">
        <v>230390.0</v>
      </c>
      <c r="F100" s="17" t="s">
        <v>69</v>
      </c>
      <c r="G100" s="17" t="s">
        <v>70</v>
      </c>
      <c r="H100" s="17">
        <v>339040.0</v>
      </c>
      <c r="I100" s="17" t="s">
        <v>73</v>
      </c>
      <c r="J100" s="17">
        <v>1.0E9</v>
      </c>
      <c r="K100" s="17">
        <v>157909.0</v>
      </c>
      <c r="L100" s="17" t="s">
        <v>112</v>
      </c>
      <c r="M100" s="17" t="s">
        <v>82</v>
      </c>
      <c r="N100" s="26"/>
      <c r="O100" s="26"/>
      <c r="P100" s="26"/>
      <c r="Q100" s="26"/>
      <c r="R100" s="28">
        <v>14355.0</v>
      </c>
      <c r="S100" s="28">
        <v>14355.0</v>
      </c>
      <c r="T100" s="28">
        <v>0.0</v>
      </c>
      <c r="U100" s="28">
        <v>0.0</v>
      </c>
      <c r="V100" s="26"/>
      <c r="W100" s="26"/>
      <c r="X100" s="26"/>
      <c r="Y100" s="26"/>
      <c r="Z100" s="28">
        <v>14355.0</v>
      </c>
      <c r="AA100" s="28">
        <v>14355.0</v>
      </c>
      <c r="AB100" s="39">
        <v>0.0</v>
      </c>
      <c r="AC100" s="95" t="str">
        <f t="shared" si="1"/>
        <v>2026NE000331</v>
      </c>
    </row>
    <row r="101" ht="15.75" customHeight="1">
      <c r="A101" s="17" t="s">
        <v>520</v>
      </c>
      <c r="B101" s="17" t="s">
        <v>554</v>
      </c>
      <c r="C101" s="17" t="s">
        <v>555</v>
      </c>
      <c r="D101" s="17" t="s">
        <v>556</v>
      </c>
      <c r="E101" s="17">
        <v>230390.0</v>
      </c>
      <c r="F101" s="17" t="s">
        <v>69</v>
      </c>
      <c r="G101" s="17" t="s">
        <v>70</v>
      </c>
      <c r="H101" s="17">
        <v>339040.0</v>
      </c>
      <c r="I101" s="17" t="s">
        <v>73</v>
      </c>
      <c r="J101" s="17">
        <v>1.0E9</v>
      </c>
      <c r="K101" s="17">
        <v>157909.0</v>
      </c>
      <c r="L101" s="17" t="s">
        <v>112</v>
      </c>
      <c r="M101" s="17" t="s">
        <v>82</v>
      </c>
      <c r="N101" s="26"/>
      <c r="O101" s="26"/>
      <c r="P101" s="26"/>
      <c r="Q101" s="26"/>
      <c r="R101" s="28">
        <v>14355.0</v>
      </c>
      <c r="S101" s="28">
        <v>14355.0</v>
      </c>
      <c r="T101" s="28">
        <v>0.0</v>
      </c>
      <c r="U101" s="28">
        <v>0.0</v>
      </c>
      <c r="V101" s="26"/>
      <c r="W101" s="26"/>
      <c r="X101" s="26"/>
      <c r="Y101" s="26"/>
      <c r="Z101" s="28">
        <v>14355.0</v>
      </c>
      <c r="AA101" s="28">
        <v>14355.0</v>
      </c>
      <c r="AB101" s="39">
        <v>0.0</v>
      </c>
      <c r="AC101" s="95" t="str">
        <f t="shared" si="1"/>
        <v>2026NE000332</v>
      </c>
    </row>
    <row r="102" ht="15.75" customHeight="1">
      <c r="A102" s="17" t="s">
        <v>520</v>
      </c>
      <c r="B102" s="17" t="s">
        <v>557</v>
      </c>
      <c r="C102" s="17" t="s">
        <v>558</v>
      </c>
      <c r="D102" s="17" t="s">
        <v>559</v>
      </c>
      <c r="E102" s="17">
        <v>230390.0</v>
      </c>
      <c r="F102" s="17" t="s">
        <v>69</v>
      </c>
      <c r="G102" s="17" t="s">
        <v>70</v>
      </c>
      <c r="H102" s="17">
        <v>339040.0</v>
      </c>
      <c r="I102" s="17" t="s">
        <v>73</v>
      </c>
      <c r="J102" s="17">
        <v>1.0E9</v>
      </c>
      <c r="K102" s="17">
        <v>157909.0</v>
      </c>
      <c r="L102" s="17" t="s">
        <v>112</v>
      </c>
      <c r="M102" s="17" t="s">
        <v>82</v>
      </c>
      <c r="N102" s="26"/>
      <c r="O102" s="26"/>
      <c r="P102" s="26"/>
      <c r="Q102" s="26"/>
      <c r="R102" s="26"/>
      <c r="S102" s="26"/>
      <c r="T102" s="26"/>
      <c r="U102" s="28">
        <v>14355.0</v>
      </c>
      <c r="V102" s="26"/>
      <c r="W102" s="26"/>
      <c r="X102" s="26"/>
      <c r="Y102" s="26"/>
      <c r="Z102" s="28">
        <v>14355.0</v>
      </c>
      <c r="AA102" s="28">
        <v>14355.0</v>
      </c>
      <c r="AB102" s="39">
        <v>0.0</v>
      </c>
      <c r="AC102" s="95" t="str">
        <f t="shared" si="1"/>
        <v>2026NE000358</v>
      </c>
    </row>
    <row r="103" ht="15.75" customHeight="1">
      <c r="A103" s="17" t="s">
        <v>560</v>
      </c>
      <c r="B103" s="17" t="s">
        <v>561</v>
      </c>
      <c r="C103" s="17" t="s">
        <v>562</v>
      </c>
      <c r="D103" s="17" t="s">
        <v>563</v>
      </c>
      <c r="E103" s="17">
        <v>230386.0</v>
      </c>
      <c r="F103" s="17" t="s">
        <v>94</v>
      </c>
      <c r="G103" s="17" t="s">
        <v>163</v>
      </c>
      <c r="H103" s="17">
        <v>339037.0</v>
      </c>
      <c r="I103" s="17" t="s">
        <v>284</v>
      </c>
      <c r="J103" s="17">
        <v>1.0E9</v>
      </c>
      <c r="K103" s="17">
        <v>151928.0</v>
      </c>
      <c r="L103" s="17" t="s">
        <v>164</v>
      </c>
      <c r="M103" s="17" t="s">
        <v>96</v>
      </c>
      <c r="N103" s="26"/>
      <c r="O103" s="26"/>
      <c r="P103" s="26"/>
      <c r="Q103" s="26"/>
      <c r="R103" s="28">
        <v>31727.16</v>
      </c>
      <c r="S103" s="28">
        <v>31727.16</v>
      </c>
      <c r="T103" s="28">
        <v>15863.58</v>
      </c>
      <c r="U103" s="28">
        <v>0.0</v>
      </c>
      <c r="V103" s="26"/>
      <c r="W103" s="26"/>
      <c r="X103" s="26"/>
      <c r="Y103" s="26"/>
      <c r="Z103" s="28">
        <v>47590.74</v>
      </c>
      <c r="AA103" s="28">
        <v>79261.5</v>
      </c>
      <c r="AB103" s="39">
        <v>31670.76</v>
      </c>
      <c r="AC103" s="95" t="str">
        <f t="shared" si="1"/>
        <v>2026NE000002</v>
      </c>
    </row>
    <row r="104" ht="15.75" customHeight="1">
      <c r="A104" s="17" t="s">
        <v>560</v>
      </c>
      <c r="B104" s="17" t="s">
        <v>564</v>
      </c>
      <c r="C104" s="17" t="s">
        <v>565</v>
      </c>
      <c r="D104" s="17" t="s">
        <v>563</v>
      </c>
      <c r="E104" s="17">
        <v>230390.0</v>
      </c>
      <c r="F104" s="17" t="s">
        <v>69</v>
      </c>
      <c r="G104" s="17" t="s">
        <v>70</v>
      </c>
      <c r="H104" s="17">
        <v>339037.0</v>
      </c>
      <c r="I104" s="17" t="s">
        <v>284</v>
      </c>
      <c r="J104" s="17">
        <v>1.0E9</v>
      </c>
      <c r="K104" s="17">
        <v>157909.0</v>
      </c>
      <c r="L104" s="17" t="s">
        <v>112</v>
      </c>
      <c r="M104" s="17" t="s">
        <v>102</v>
      </c>
      <c r="N104" s="26"/>
      <c r="O104" s="26"/>
      <c r="P104" s="26"/>
      <c r="Q104" s="28">
        <v>900499.1</v>
      </c>
      <c r="R104" s="28">
        <v>728803.14</v>
      </c>
      <c r="S104" s="28">
        <v>728803.14</v>
      </c>
      <c r="T104" s="28">
        <v>367536.96</v>
      </c>
      <c r="U104" s="28">
        <v>0.0</v>
      </c>
      <c r="V104" s="26"/>
      <c r="W104" s="26"/>
      <c r="X104" s="26"/>
      <c r="Y104" s="26"/>
      <c r="Z104" s="28">
        <v>1996839.2</v>
      </c>
      <c r="AA104" s="28">
        <v>2110123.14</v>
      </c>
      <c r="AB104" s="39">
        <v>113283.94</v>
      </c>
      <c r="AC104" s="95" t="str">
        <f t="shared" si="1"/>
        <v>2026NE000003</v>
      </c>
    </row>
    <row r="105" ht="15.75" customHeight="1">
      <c r="A105" s="17" t="s">
        <v>566</v>
      </c>
      <c r="B105" s="17" t="s">
        <v>567</v>
      </c>
      <c r="C105" s="17" t="s">
        <v>568</v>
      </c>
      <c r="D105" s="17" t="s">
        <v>569</v>
      </c>
      <c r="E105" s="17">
        <v>230390.0</v>
      </c>
      <c r="F105" s="17" t="s">
        <v>69</v>
      </c>
      <c r="G105" s="17" t="s">
        <v>70</v>
      </c>
      <c r="H105" s="17">
        <v>339040.0</v>
      </c>
      <c r="I105" s="17" t="s">
        <v>73</v>
      </c>
      <c r="J105" s="17">
        <v>1.0E9</v>
      </c>
      <c r="K105" s="17">
        <v>157908.0</v>
      </c>
      <c r="L105" s="17" t="s">
        <v>570</v>
      </c>
      <c r="M105" s="17" t="s">
        <v>82</v>
      </c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>
        <v>9610.0</v>
      </c>
      <c r="AB105" s="39">
        <v>9610.0</v>
      </c>
      <c r="AC105" s="95" t="str">
        <f t="shared" si="1"/>
        <v>2026NE000178</v>
      </c>
    </row>
    <row r="106" ht="15.75" customHeight="1">
      <c r="A106" s="17" t="s">
        <v>566</v>
      </c>
      <c r="B106" s="17" t="s">
        <v>571</v>
      </c>
      <c r="C106" s="17" t="s">
        <v>568</v>
      </c>
      <c r="D106" s="17" t="s">
        <v>569</v>
      </c>
      <c r="E106" s="17">
        <v>230392.0</v>
      </c>
      <c r="F106" s="17" t="s">
        <v>270</v>
      </c>
      <c r="G106" s="17" t="s">
        <v>271</v>
      </c>
      <c r="H106" s="17">
        <v>339040.0</v>
      </c>
      <c r="I106" s="17" t="s">
        <v>73</v>
      </c>
      <c r="J106" s="17">
        <v>1.0E9</v>
      </c>
      <c r="K106" s="17">
        <v>151969.0</v>
      </c>
      <c r="L106" s="17" t="s">
        <v>272</v>
      </c>
      <c r="M106" s="17" t="s">
        <v>572</v>
      </c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>
        <v>15.9</v>
      </c>
      <c r="AB106" s="39">
        <v>15.9</v>
      </c>
      <c r="AC106" s="95" t="str">
        <f t="shared" si="1"/>
        <v>2026NE000179</v>
      </c>
    </row>
    <row r="107" ht="15.75" customHeight="1">
      <c r="A107" s="17" t="s">
        <v>566</v>
      </c>
      <c r="B107" s="17" t="s">
        <v>573</v>
      </c>
      <c r="C107" s="17" t="s">
        <v>574</v>
      </c>
      <c r="D107" s="17" t="s">
        <v>575</v>
      </c>
      <c r="E107" s="17">
        <v>230390.0</v>
      </c>
      <c r="F107" s="17" t="s">
        <v>69</v>
      </c>
      <c r="G107" s="17" t="s">
        <v>70</v>
      </c>
      <c r="H107" s="17">
        <v>339040.0</v>
      </c>
      <c r="I107" s="17" t="s">
        <v>73</v>
      </c>
      <c r="J107" s="17">
        <v>1.0E9</v>
      </c>
      <c r="K107" s="17">
        <v>157909.0</v>
      </c>
      <c r="L107" s="17" t="s">
        <v>112</v>
      </c>
      <c r="M107" s="17" t="s">
        <v>82</v>
      </c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>
        <v>44850.0</v>
      </c>
      <c r="AB107" s="39">
        <v>44850.0</v>
      </c>
      <c r="AC107" s="95" t="str">
        <f t="shared" si="1"/>
        <v>2026NE000420</v>
      </c>
    </row>
    <row r="108" ht="15.75" customHeight="1">
      <c r="A108" s="17" t="s">
        <v>576</v>
      </c>
      <c r="B108" s="17" t="s">
        <v>577</v>
      </c>
      <c r="C108" s="17" t="s">
        <v>578</v>
      </c>
      <c r="D108" s="17" t="s">
        <v>579</v>
      </c>
      <c r="E108" s="17">
        <v>230390.0</v>
      </c>
      <c r="F108" s="17" t="s">
        <v>69</v>
      </c>
      <c r="G108" s="17" t="s">
        <v>70</v>
      </c>
      <c r="H108" s="17">
        <v>339040.0</v>
      </c>
      <c r="I108" s="17" t="s">
        <v>73</v>
      </c>
      <c r="J108" s="17">
        <v>1.0E9</v>
      </c>
      <c r="K108" s="17">
        <v>157842.0</v>
      </c>
      <c r="L108" s="17" t="s">
        <v>77</v>
      </c>
      <c r="M108" s="17" t="s">
        <v>82</v>
      </c>
      <c r="N108" s="26"/>
      <c r="O108" s="26"/>
      <c r="P108" s="26"/>
      <c r="Q108" s="28">
        <v>9222.0</v>
      </c>
      <c r="R108" s="28">
        <v>0.0</v>
      </c>
      <c r="S108" s="28">
        <v>0.0</v>
      </c>
      <c r="T108" s="28">
        <v>0.0</v>
      </c>
      <c r="U108" s="28">
        <v>0.0</v>
      </c>
      <c r="V108" s="26"/>
      <c r="W108" s="26"/>
      <c r="X108" s="26"/>
      <c r="Y108" s="26"/>
      <c r="Z108" s="28">
        <v>9222.0</v>
      </c>
      <c r="AA108" s="28">
        <v>9222.0</v>
      </c>
      <c r="AB108" s="39">
        <v>0.0</v>
      </c>
      <c r="AC108" s="95" t="str">
        <f t="shared" si="1"/>
        <v>2026NE000130</v>
      </c>
    </row>
    <row r="109" ht="15.75" customHeight="1">
      <c r="A109" s="17" t="s">
        <v>583</v>
      </c>
      <c r="B109" s="17" t="s">
        <v>584</v>
      </c>
      <c r="C109" s="17" t="s">
        <v>585</v>
      </c>
      <c r="D109" s="17" t="s">
        <v>67</v>
      </c>
      <c r="E109" s="17">
        <v>230390.0</v>
      </c>
      <c r="F109" s="17" t="s">
        <v>69</v>
      </c>
      <c r="G109" s="17" t="s">
        <v>70</v>
      </c>
      <c r="H109" s="17">
        <v>339040.0</v>
      </c>
      <c r="I109" s="17" t="s">
        <v>73</v>
      </c>
      <c r="J109" s="17">
        <v>1.0E9</v>
      </c>
      <c r="K109" s="17">
        <v>157658.0</v>
      </c>
      <c r="L109" s="17" t="s">
        <v>121</v>
      </c>
      <c r="M109" s="17" t="s">
        <v>586</v>
      </c>
      <c r="N109" s="26"/>
      <c r="O109" s="26"/>
      <c r="P109" s="26"/>
      <c r="Q109" s="28">
        <v>15551.3</v>
      </c>
      <c r="R109" s="28">
        <v>0.0</v>
      </c>
      <c r="S109" s="28">
        <v>0.0</v>
      </c>
      <c r="T109" s="28">
        <v>31102.6</v>
      </c>
      <c r="U109" s="28">
        <v>0.0</v>
      </c>
      <c r="V109" s="26"/>
      <c r="W109" s="26"/>
      <c r="X109" s="26"/>
      <c r="Y109" s="26"/>
      <c r="Z109" s="28">
        <v>46653.9</v>
      </c>
      <c r="AA109" s="28">
        <v>46657.68</v>
      </c>
      <c r="AB109" s="39">
        <v>3.78</v>
      </c>
      <c r="AC109" s="95" t="str">
        <f t="shared" si="1"/>
        <v>2026NE000084</v>
      </c>
    </row>
    <row r="110" ht="15.75" customHeight="1"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99"/>
      <c r="AC110" s="95" t="str">
        <f t="shared" si="1"/>
        <v/>
      </c>
    </row>
    <row r="111" ht="15.75" customHeight="1">
      <c r="N111" s="99"/>
      <c r="O111" s="99"/>
      <c r="P111" s="99"/>
      <c r="Q111" s="99"/>
      <c r="R111" s="99"/>
      <c r="S111" s="99"/>
      <c r="T111" s="99"/>
      <c r="U111" s="99"/>
      <c r="V111" s="99"/>
      <c r="W111" s="99"/>
      <c r="X111" s="99"/>
      <c r="Y111" s="99"/>
      <c r="Z111" s="99"/>
      <c r="AA111" s="99"/>
      <c r="AB111" s="99"/>
      <c r="AC111" s="95" t="str">
        <f t="shared" si="1"/>
        <v/>
      </c>
    </row>
    <row r="112" ht="15.75" customHeight="1">
      <c r="N112" s="99"/>
      <c r="O112" s="99"/>
      <c r="P112" s="99"/>
      <c r="Q112" s="99"/>
      <c r="R112" s="99"/>
      <c r="S112" s="99"/>
      <c r="T112" s="99"/>
      <c r="U112" s="99"/>
      <c r="V112" s="99"/>
      <c r="W112" s="99"/>
      <c r="X112" s="99"/>
      <c r="Y112" s="99"/>
      <c r="Z112" s="99"/>
      <c r="AA112" s="99"/>
      <c r="AB112" s="99"/>
      <c r="AC112" s="95" t="str">
        <f t="shared" si="1"/>
        <v/>
      </c>
    </row>
    <row r="113" ht="15.75" customHeight="1"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5" t="str">
        <f t="shared" si="1"/>
        <v/>
      </c>
    </row>
    <row r="114" ht="15.75" customHeight="1">
      <c r="N114" s="99"/>
      <c r="O114" s="99"/>
      <c r="P114" s="99"/>
      <c r="Q114" s="99"/>
      <c r="R114" s="99"/>
      <c r="S114" s="99"/>
      <c r="T114" s="99"/>
      <c r="U114" s="99"/>
      <c r="V114" s="99"/>
      <c r="W114" s="99"/>
      <c r="X114" s="99"/>
      <c r="Y114" s="99"/>
      <c r="Z114" s="99"/>
      <c r="AA114" s="99"/>
      <c r="AB114" s="99"/>
      <c r="AC114" s="95" t="str">
        <f t="shared" si="1"/>
        <v/>
      </c>
    </row>
    <row r="115" ht="15.75" customHeight="1"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99"/>
      <c r="AC115" s="95" t="str">
        <f t="shared" si="1"/>
        <v/>
      </c>
    </row>
    <row r="116" ht="15.75" customHeight="1"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99"/>
      <c r="AC116" s="95" t="str">
        <f t="shared" si="1"/>
        <v/>
      </c>
    </row>
    <row r="117" ht="15.75" customHeight="1"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99"/>
      <c r="AC117" s="95" t="str">
        <f t="shared" si="1"/>
        <v/>
      </c>
    </row>
    <row r="118" ht="15.75" customHeight="1">
      <c r="N118" s="99"/>
      <c r="O118" s="99"/>
      <c r="P118" s="99"/>
      <c r="Q118" s="99"/>
      <c r="R118" s="99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5" t="str">
        <f t="shared" si="1"/>
        <v/>
      </c>
    </row>
    <row r="119" ht="15.75" customHeight="1">
      <c r="N119" s="99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99"/>
      <c r="AC119" s="95" t="str">
        <f t="shared" si="1"/>
        <v/>
      </c>
    </row>
    <row r="120" ht="15.75" customHeight="1"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5" t="str">
        <f t="shared" si="1"/>
        <v/>
      </c>
    </row>
    <row r="121" ht="15.75" customHeight="1">
      <c r="N121" s="99"/>
      <c r="O121" s="99"/>
      <c r="P121" s="99"/>
      <c r="Q121" s="99"/>
      <c r="R121" s="99"/>
      <c r="S121" s="99"/>
      <c r="T121" s="99"/>
      <c r="U121" s="99"/>
      <c r="V121" s="99"/>
      <c r="W121" s="99"/>
      <c r="X121" s="99"/>
      <c r="Y121" s="99"/>
      <c r="Z121" s="99"/>
      <c r="AA121" s="99"/>
      <c r="AB121" s="99"/>
      <c r="AC121" s="95" t="str">
        <f t="shared" si="1"/>
        <v/>
      </c>
    </row>
    <row r="122" ht="15.75" customHeight="1"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99"/>
      <c r="AC122" s="95" t="str">
        <f t="shared" si="1"/>
        <v/>
      </c>
    </row>
    <row r="123" ht="15.75" customHeight="1"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99"/>
      <c r="AC123" s="95" t="str">
        <f t="shared" si="1"/>
        <v/>
      </c>
    </row>
    <row r="124" ht="15.75" customHeight="1">
      <c r="N124" s="99"/>
      <c r="O124" s="99"/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  <c r="AB124" s="99"/>
      <c r="AC124" s="95" t="str">
        <f t="shared" si="1"/>
        <v/>
      </c>
    </row>
    <row r="125" ht="15.75" customHeight="1"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99"/>
      <c r="AC125" s="95" t="str">
        <f t="shared" si="1"/>
        <v/>
      </c>
    </row>
    <row r="126" ht="15.75" customHeight="1">
      <c r="N126" s="99"/>
      <c r="O126" s="99"/>
      <c r="P126" s="99"/>
      <c r="Q126" s="99"/>
      <c r="R126" s="99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5" t="str">
        <f t="shared" si="1"/>
        <v/>
      </c>
    </row>
    <row r="127" ht="15.75" customHeight="1">
      <c r="N127" s="99"/>
      <c r="O127" s="99"/>
      <c r="P127" s="99"/>
      <c r="Q127" s="99"/>
      <c r="R127" s="99"/>
      <c r="S127" s="99"/>
      <c r="T127" s="99"/>
      <c r="U127" s="99"/>
      <c r="V127" s="99"/>
      <c r="W127" s="99"/>
      <c r="X127" s="99"/>
      <c r="Y127" s="99"/>
      <c r="Z127" s="99"/>
      <c r="AA127" s="99"/>
      <c r="AB127" s="99"/>
      <c r="AC127" s="95" t="str">
        <f t="shared" si="1"/>
        <v/>
      </c>
    </row>
    <row r="128" ht="15.75" customHeight="1"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5" t="str">
        <f t="shared" si="1"/>
        <v/>
      </c>
    </row>
    <row r="129" ht="15.75" customHeight="1"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5" t="str">
        <f t="shared" si="1"/>
        <v/>
      </c>
    </row>
    <row r="130" ht="15.75" customHeight="1"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5" t="str">
        <f t="shared" si="1"/>
        <v/>
      </c>
    </row>
    <row r="131" ht="15.75" customHeight="1"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99"/>
      <c r="AC131" s="95" t="str">
        <f t="shared" si="1"/>
        <v/>
      </c>
    </row>
    <row r="132" ht="15.75" customHeight="1"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99"/>
      <c r="AC132" s="95" t="str">
        <f t="shared" si="1"/>
        <v/>
      </c>
    </row>
    <row r="133" ht="15.75" customHeight="1">
      <c r="N133" s="99"/>
      <c r="O133" s="99"/>
      <c r="P133" s="99"/>
      <c r="Q133" s="99"/>
      <c r="R133" s="99"/>
      <c r="S133" s="99"/>
      <c r="T133" s="99"/>
      <c r="U133" s="99"/>
      <c r="V133" s="99"/>
      <c r="W133" s="99"/>
      <c r="X133" s="99"/>
      <c r="Y133" s="99"/>
      <c r="Z133" s="99"/>
      <c r="AA133" s="99"/>
      <c r="AB133" s="99"/>
      <c r="AC133" s="95" t="str">
        <f t="shared" si="1"/>
        <v/>
      </c>
    </row>
    <row r="134" ht="15.75" customHeight="1"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5" t="str">
        <f t="shared" si="1"/>
        <v/>
      </c>
    </row>
    <row r="135" ht="15.75" customHeight="1">
      <c r="N135" s="99"/>
      <c r="O135" s="99"/>
      <c r="P135" s="99"/>
      <c r="Q135" s="99"/>
      <c r="R135" s="99"/>
      <c r="S135" s="99"/>
      <c r="T135" s="99"/>
      <c r="U135" s="99"/>
      <c r="V135" s="99"/>
      <c r="W135" s="99"/>
      <c r="X135" s="99"/>
      <c r="Y135" s="99"/>
      <c r="Z135" s="99"/>
      <c r="AA135" s="99"/>
      <c r="AB135" s="99"/>
      <c r="AC135" s="95" t="str">
        <f t="shared" si="1"/>
        <v/>
      </c>
    </row>
    <row r="136" ht="15.75" customHeight="1">
      <c r="N136" s="99"/>
      <c r="O136" s="99"/>
      <c r="P136" s="99"/>
      <c r="Q136" s="99"/>
      <c r="R136" s="99"/>
      <c r="S136" s="99"/>
      <c r="T136" s="99"/>
      <c r="U136" s="99"/>
      <c r="V136" s="99"/>
      <c r="W136" s="99"/>
      <c r="X136" s="99"/>
      <c r="Y136" s="99"/>
      <c r="Z136" s="99"/>
      <c r="AA136" s="99"/>
      <c r="AB136" s="99"/>
      <c r="AC136" s="95" t="str">
        <f t="shared" si="1"/>
        <v/>
      </c>
    </row>
    <row r="137" ht="15.75" customHeight="1">
      <c r="N137" s="99"/>
      <c r="O137" s="99"/>
      <c r="P137" s="99"/>
      <c r="Q137" s="99"/>
      <c r="R137" s="99"/>
      <c r="S137" s="99"/>
      <c r="T137" s="99"/>
      <c r="U137" s="99"/>
      <c r="V137" s="99"/>
      <c r="W137" s="99"/>
      <c r="X137" s="99"/>
      <c r="Y137" s="99"/>
      <c r="Z137" s="99"/>
      <c r="AA137" s="99"/>
      <c r="AB137" s="99"/>
      <c r="AC137" s="95" t="str">
        <f t="shared" si="1"/>
        <v/>
      </c>
    </row>
    <row r="138" ht="15.75" customHeight="1"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99"/>
      <c r="AC138" s="95" t="str">
        <f t="shared" si="1"/>
        <v/>
      </c>
    </row>
    <row r="139" ht="15.75" customHeight="1"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5" t="str">
        <f t="shared" si="1"/>
        <v/>
      </c>
    </row>
    <row r="140" ht="15.75" customHeight="1">
      <c r="N140" s="99"/>
      <c r="O140" s="99"/>
      <c r="P140" s="99"/>
      <c r="Q140" s="99"/>
      <c r="R140" s="99"/>
      <c r="S140" s="99"/>
      <c r="T140" s="99"/>
      <c r="U140" s="99"/>
      <c r="V140" s="99"/>
      <c r="W140" s="99"/>
      <c r="X140" s="99"/>
      <c r="Y140" s="99"/>
      <c r="Z140" s="99"/>
      <c r="AA140" s="99"/>
      <c r="AB140" s="99"/>
      <c r="AC140" s="95" t="str">
        <f t="shared" si="1"/>
        <v/>
      </c>
    </row>
    <row r="141" ht="15.75" customHeight="1">
      <c r="N141" s="99"/>
      <c r="O141" s="99"/>
      <c r="P141" s="99"/>
      <c r="Q141" s="99"/>
      <c r="R141" s="99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5" t="str">
        <f t="shared" si="1"/>
        <v/>
      </c>
    </row>
    <row r="142" ht="15.75" customHeight="1">
      <c r="N142" s="99"/>
      <c r="O142" s="99"/>
      <c r="P142" s="99"/>
      <c r="Q142" s="99"/>
      <c r="R142" s="99"/>
      <c r="S142" s="99"/>
      <c r="T142" s="99"/>
      <c r="U142" s="99"/>
      <c r="V142" s="99"/>
      <c r="W142" s="99"/>
      <c r="X142" s="99"/>
      <c r="Y142" s="99"/>
      <c r="Z142" s="99"/>
      <c r="AA142" s="99"/>
      <c r="AB142" s="99"/>
      <c r="AC142" s="95" t="str">
        <f t="shared" si="1"/>
        <v/>
      </c>
    </row>
    <row r="143" ht="15.75" customHeight="1">
      <c r="N143" s="99"/>
      <c r="O143" s="99"/>
      <c r="P143" s="99"/>
      <c r="Q143" s="99"/>
      <c r="R143" s="99"/>
      <c r="S143" s="99"/>
      <c r="T143" s="99"/>
      <c r="U143" s="99"/>
      <c r="V143" s="99"/>
      <c r="W143" s="99"/>
      <c r="X143" s="99"/>
      <c r="Y143" s="99"/>
      <c r="Z143" s="99"/>
      <c r="AA143" s="99"/>
      <c r="AB143" s="99"/>
      <c r="AC143" s="95" t="str">
        <f t="shared" si="1"/>
        <v/>
      </c>
    </row>
    <row r="144" ht="15.75" customHeight="1">
      <c r="N144" s="99"/>
      <c r="O144" s="99"/>
      <c r="P144" s="99"/>
      <c r="Q144" s="99"/>
      <c r="R144" s="99"/>
      <c r="S144" s="99"/>
      <c r="T144" s="99"/>
      <c r="U144" s="99"/>
      <c r="V144" s="99"/>
      <c r="W144" s="99"/>
      <c r="X144" s="99"/>
      <c r="Y144" s="99"/>
      <c r="Z144" s="99"/>
      <c r="AA144" s="99"/>
      <c r="AB144" s="99"/>
      <c r="AC144" s="95" t="str">
        <f t="shared" si="1"/>
        <v/>
      </c>
    </row>
    <row r="145" ht="15.75" customHeight="1">
      <c r="N145" s="99"/>
      <c r="O145" s="99"/>
      <c r="P145" s="99"/>
      <c r="Q145" s="99"/>
      <c r="R145" s="99"/>
      <c r="S145" s="99"/>
      <c r="T145" s="99"/>
      <c r="U145" s="99"/>
      <c r="V145" s="99"/>
      <c r="W145" s="99"/>
      <c r="X145" s="99"/>
      <c r="Y145" s="99"/>
      <c r="Z145" s="99"/>
      <c r="AA145" s="99"/>
      <c r="AB145" s="99"/>
      <c r="AC145" s="95" t="str">
        <f t="shared" si="1"/>
        <v/>
      </c>
    </row>
    <row r="146" ht="15.75" customHeight="1"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5" t="str">
        <f t="shared" si="1"/>
        <v/>
      </c>
    </row>
    <row r="147" ht="15.75" customHeight="1">
      <c r="N147" s="99"/>
      <c r="O147" s="99"/>
      <c r="P147" s="99"/>
      <c r="Q147" s="99"/>
      <c r="R147" s="99"/>
      <c r="S147" s="99"/>
      <c r="T147" s="99"/>
      <c r="U147" s="99"/>
      <c r="V147" s="99"/>
      <c r="W147" s="99"/>
      <c r="X147" s="99"/>
      <c r="Y147" s="99"/>
      <c r="Z147" s="99"/>
      <c r="AA147" s="99"/>
      <c r="AB147" s="99"/>
      <c r="AC147" s="95" t="str">
        <f t="shared" si="1"/>
        <v/>
      </c>
    </row>
    <row r="148" ht="15.75" customHeight="1">
      <c r="N148" s="99"/>
      <c r="O148" s="99"/>
      <c r="P148" s="99"/>
      <c r="Q148" s="99"/>
      <c r="R148" s="99"/>
      <c r="S148" s="99"/>
      <c r="T148" s="99"/>
      <c r="U148" s="99"/>
      <c r="V148" s="99"/>
      <c r="W148" s="99"/>
      <c r="X148" s="99"/>
      <c r="Y148" s="99"/>
      <c r="Z148" s="99"/>
      <c r="AA148" s="99"/>
      <c r="AB148" s="99"/>
      <c r="AC148" s="95" t="str">
        <f t="shared" si="1"/>
        <v/>
      </c>
    </row>
    <row r="149" ht="15.75" customHeight="1">
      <c r="N149" s="99"/>
      <c r="O149" s="99"/>
      <c r="P149" s="99"/>
      <c r="Q149" s="99"/>
      <c r="R149" s="99"/>
      <c r="S149" s="99"/>
      <c r="T149" s="99"/>
      <c r="U149" s="99"/>
      <c r="V149" s="99"/>
      <c r="W149" s="99"/>
      <c r="X149" s="99"/>
      <c r="Y149" s="99"/>
      <c r="Z149" s="99"/>
      <c r="AA149" s="99"/>
      <c r="AB149" s="99"/>
      <c r="AC149" s="95" t="str">
        <f t="shared" si="1"/>
        <v/>
      </c>
    </row>
    <row r="150" ht="15.75" customHeight="1">
      <c r="N150" s="99"/>
      <c r="O150" s="99"/>
      <c r="P150" s="99"/>
      <c r="Q150" s="99"/>
      <c r="R150" s="99"/>
      <c r="S150" s="99"/>
      <c r="T150" s="99"/>
      <c r="U150" s="99"/>
      <c r="V150" s="99"/>
      <c r="W150" s="99"/>
      <c r="X150" s="99"/>
      <c r="Y150" s="99"/>
      <c r="Z150" s="99"/>
      <c r="AA150" s="99"/>
      <c r="AB150" s="99"/>
      <c r="AC150" s="95" t="str">
        <f t="shared" si="1"/>
        <v/>
      </c>
    </row>
    <row r="151" ht="15.75" customHeight="1">
      <c r="N151" s="99"/>
      <c r="O151" s="99"/>
      <c r="P151" s="99"/>
      <c r="Q151" s="99"/>
      <c r="R151" s="99"/>
      <c r="S151" s="99"/>
      <c r="T151" s="99"/>
      <c r="U151" s="99"/>
      <c r="V151" s="99"/>
      <c r="W151" s="99"/>
      <c r="X151" s="99"/>
      <c r="Y151" s="99"/>
      <c r="Z151" s="99"/>
      <c r="AA151" s="99"/>
      <c r="AB151" s="99"/>
      <c r="AC151" s="95" t="str">
        <f t="shared" si="1"/>
        <v/>
      </c>
    </row>
    <row r="152" ht="15.75" customHeight="1">
      <c r="N152" s="99"/>
      <c r="O152" s="99"/>
      <c r="P152" s="99"/>
      <c r="Q152" s="99"/>
      <c r="R152" s="99"/>
      <c r="S152" s="99"/>
      <c r="T152" s="99"/>
      <c r="U152" s="99"/>
      <c r="V152" s="99"/>
      <c r="W152" s="99"/>
      <c r="X152" s="99"/>
      <c r="Y152" s="99"/>
      <c r="Z152" s="99"/>
      <c r="AA152" s="99"/>
      <c r="AB152" s="99"/>
      <c r="AC152" s="95" t="str">
        <f t="shared" si="1"/>
        <v/>
      </c>
    </row>
    <row r="153" ht="15.75" customHeight="1">
      <c r="N153" s="99"/>
      <c r="O153" s="99"/>
      <c r="P153" s="99"/>
      <c r="Q153" s="99"/>
      <c r="R153" s="99"/>
      <c r="S153" s="99"/>
      <c r="T153" s="99"/>
      <c r="U153" s="99"/>
      <c r="V153" s="99"/>
      <c r="W153" s="99"/>
      <c r="X153" s="99"/>
      <c r="Y153" s="99"/>
      <c r="Z153" s="99"/>
      <c r="AA153" s="99"/>
      <c r="AB153" s="99"/>
      <c r="AC153" s="95" t="str">
        <f t="shared" si="1"/>
        <v/>
      </c>
    </row>
    <row r="154" ht="15.75" customHeight="1">
      <c r="N154" s="99"/>
      <c r="O154" s="99"/>
      <c r="P154" s="99"/>
      <c r="Q154" s="99"/>
      <c r="R154" s="99"/>
      <c r="S154" s="99"/>
      <c r="T154" s="99"/>
      <c r="U154" s="99"/>
      <c r="V154" s="99"/>
      <c r="W154" s="99"/>
      <c r="X154" s="99"/>
      <c r="Y154" s="99"/>
      <c r="Z154" s="99"/>
      <c r="AA154" s="99"/>
      <c r="AB154" s="99"/>
      <c r="AC154" s="95" t="str">
        <f t="shared" si="1"/>
        <v/>
      </c>
    </row>
    <row r="155" ht="15.75" customHeight="1">
      <c r="N155" s="99"/>
      <c r="O155" s="99"/>
      <c r="P155" s="99"/>
      <c r="Q155" s="99"/>
      <c r="R155" s="99"/>
      <c r="S155" s="99"/>
      <c r="T155" s="99"/>
      <c r="U155" s="99"/>
      <c r="V155" s="99"/>
      <c r="W155" s="99"/>
      <c r="X155" s="99"/>
      <c r="Y155" s="99"/>
      <c r="Z155" s="99"/>
      <c r="AA155" s="99"/>
      <c r="AB155" s="99"/>
      <c r="AC155" s="95" t="str">
        <f t="shared" si="1"/>
        <v/>
      </c>
    </row>
    <row r="156" ht="15.75" customHeight="1">
      <c r="N156" s="99"/>
      <c r="O156" s="99"/>
      <c r="P156" s="99"/>
      <c r="Q156" s="99"/>
      <c r="R156" s="99"/>
      <c r="S156" s="99"/>
      <c r="T156" s="99"/>
      <c r="U156" s="99"/>
      <c r="V156" s="99"/>
      <c r="W156" s="99"/>
      <c r="X156" s="99"/>
      <c r="Y156" s="99"/>
      <c r="Z156" s="99"/>
      <c r="AA156" s="99"/>
      <c r="AB156" s="99"/>
      <c r="AC156" s="95" t="str">
        <f t="shared" si="1"/>
        <v/>
      </c>
    </row>
    <row r="157" ht="15.75" customHeight="1">
      <c r="N157" s="99"/>
      <c r="O157" s="99"/>
      <c r="P157" s="99"/>
      <c r="Q157" s="99"/>
      <c r="R157" s="99"/>
      <c r="S157" s="99"/>
      <c r="T157" s="99"/>
      <c r="U157" s="99"/>
      <c r="V157" s="99"/>
      <c r="W157" s="99"/>
      <c r="X157" s="99"/>
      <c r="Y157" s="99"/>
      <c r="Z157" s="99"/>
      <c r="AA157" s="99"/>
      <c r="AB157" s="99"/>
      <c r="AC157" s="95" t="str">
        <f t="shared" si="1"/>
        <v/>
      </c>
    </row>
    <row r="158" ht="15.75" customHeight="1">
      <c r="N158" s="99"/>
      <c r="O158" s="99"/>
      <c r="P158" s="99"/>
      <c r="Q158" s="99"/>
      <c r="R158" s="99"/>
      <c r="S158" s="99"/>
      <c r="T158" s="99"/>
      <c r="U158" s="99"/>
      <c r="V158" s="99"/>
      <c r="W158" s="99"/>
      <c r="X158" s="99"/>
      <c r="Y158" s="99"/>
      <c r="Z158" s="99"/>
      <c r="AA158" s="99"/>
      <c r="AB158" s="99"/>
      <c r="AC158" s="95" t="str">
        <f t="shared" si="1"/>
        <v/>
      </c>
    </row>
    <row r="159" ht="15.75" customHeight="1">
      <c r="N159" s="99"/>
      <c r="O159" s="99"/>
      <c r="P159" s="99"/>
      <c r="Q159" s="99"/>
      <c r="R159" s="99"/>
      <c r="S159" s="99"/>
      <c r="T159" s="99"/>
      <c r="U159" s="99"/>
      <c r="V159" s="99"/>
      <c r="W159" s="99"/>
      <c r="X159" s="99"/>
      <c r="Y159" s="99"/>
      <c r="Z159" s="99"/>
      <c r="AA159" s="99"/>
      <c r="AB159" s="99"/>
      <c r="AC159" s="95" t="str">
        <f t="shared" si="1"/>
        <v/>
      </c>
    </row>
    <row r="160" ht="15.75" customHeight="1">
      <c r="N160" s="99"/>
      <c r="O160" s="99"/>
      <c r="P160" s="99"/>
      <c r="Q160" s="99"/>
      <c r="R160" s="99"/>
      <c r="S160" s="99"/>
      <c r="T160" s="99"/>
      <c r="U160" s="99"/>
      <c r="V160" s="99"/>
      <c r="W160" s="99"/>
      <c r="X160" s="99"/>
      <c r="Y160" s="99"/>
      <c r="Z160" s="99"/>
      <c r="AA160" s="99"/>
      <c r="AB160" s="99"/>
      <c r="AC160" s="95" t="str">
        <f t="shared" si="1"/>
        <v/>
      </c>
    </row>
    <row r="161" ht="15.75" customHeight="1">
      <c r="N161" s="99"/>
      <c r="O161" s="99"/>
      <c r="P161" s="99"/>
      <c r="Q161" s="99"/>
      <c r="R161" s="99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5" t="str">
        <f t="shared" si="1"/>
        <v/>
      </c>
    </row>
    <row r="162" ht="15.75" customHeight="1">
      <c r="N162" s="99"/>
      <c r="O162" s="99"/>
      <c r="P162" s="99"/>
      <c r="Q162" s="99"/>
      <c r="R162" s="99"/>
      <c r="S162" s="99"/>
      <c r="T162" s="99"/>
      <c r="U162" s="99"/>
      <c r="V162" s="99"/>
      <c r="W162" s="99"/>
      <c r="X162" s="99"/>
      <c r="Y162" s="99"/>
      <c r="Z162" s="99"/>
      <c r="AA162" s="99"/>
      <c r="AB162" s="99"/>
      <c r="AC162" s="95" t="str">
        <f t="shared" si="1"/>
        <v/>
      </c>
    </row>
    <row r="163" ht="15.75" customHeight="1">
      <c r="N163" s="99"/>
      <c r="O163" s="99"/>
      <c r="P163" s="99"/>
      <c r="Q163" s="99"/>
      <c r="R163" s="99"/>
      <c r="S163" s="99"/>
      <c r="T163" s="99"/>
      <c r="U163" s="99"/>
      <c r="V163" s="99"/>
      <c r="W163" s="99"/>
      <c r="X163" s="99"/>
      <c r="Y163" s="99"/>
      <c r="Z163" s="99"/>
      <c r="AA163" s="99"/>
      <c r="AB163" s="99"/>
      <c r="AC163" s="95" t="str">
        <f t="shared" si="1"/>
        <v/>
      </c>
    </row>
    <row r="164" ht="15.75" customHeight="1">
      <c r="N164" s="99"/>
      <c r="O164" s="99"/>
      <c r="P164" s="99"/>
      <c r="Q164" s="99"/>
      <c r="R164" s="99"/>
      <c r="S164" s="99"/>
      <c r="T164" s="99"/>
      <c r="U164" s="99"/>
      <c r="V164" s="99"/>
      <c r="W164" s="99"/>
      <c r="X164" s="99"/>
      <c r="Y164" s="99"/>
      <c r="Z164" s="99"/>
      <c r="AA164" s="99"/>
      <c r="AB164" s="99"/>
      <c r="AC164" s="95" t="str">
        <f t="shared" si="1"/>
        <v/>
      </c>
    </row>
    <row r="165" ht="15.75" customHeight="1">
      <c r="N165" s="99"/>
      <c r="O165" s="99"/>
      <c r="P165" s="99"/>
      <c r="Q165" s="99"/>
      <c r="R165" s="99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5" t="str">
        <f t="shared" si="1"/>
        <v/>
      </c>
    </row>
    <row r="166" ht="15.75" customHeight="1">
      <c r="N166" s="99"/>
      <c r="O166" s="99"/>
      <c r="P166" s="99"/>
      <c r="Q166" s="99"/>
      <c r="R166" s="99"/>
      <c r="S166" s="99"/>
      <c r="T166" s="99"/>
      <c r="U166" s="99"/>
      <c r="V166" s="99"/>
      <c r="W166" s="99"/>
      <c r="X166" s="99"/>
      <c r="Y166" s="99"/>
      <c r="Z166" s="99"/>
      <c r="AA166" s="99"/>
      <c r="AB166" s="99"/>
      <c r="AC166" s="95" t="str">
        <f t="shared" si="1"/>
        <v/>
      </c>
    </row>
    <row r="167" ht="15.75" customHeight="1">
      <c r="N167" s="99"/>
      <c r="O167" s="99"/>
      <c r="P167" s="99"/>
      <c r="Q167" s="99"/>
      <c r="R167" s="99"/>
      <c r="S167" s="99"/>
      <c r="T167" s="99"/>
      <c r="U167" s="99"/>
      <c r="V167" s="99"/>
      <c r="W167" s="99"/>
      <c r="X167" s="99"/>
      <c r="Y167" s="99"/>
      <c r="Z167" s="99"/>
      <c r="AA167" s="99"/>
      <c r="AB167" s="99"/>
      <c r="AC167" s="95" t="str">
        <f t="shared" si="1"/>
        <v/>
      </c>
    </row>
    <row r="168" ht="15.75" customHeight="1">
      <c r="N168" s="99"/>
      <c r="O168" s="99"/>
      <c r="P168" s="99"/>
      <c r="Q168" s="99"/>
      <c r="R168" s="99"/>
      <c r="S168" s="99"/>
      <c r="T168" s="99"/>
      <c r="U168" s="99"/>
      <c r="V168" s="99"/>
      <c r="W168" s="99"/>
      <c r="X168" s="99"/>
      <c r="Y168" s="99"/>
      <c r="Z168" s="99"/>
      <c r="AA168" s="99"/>
      <c r="AB168" s="99"/>
      <c r="AC168" s="95" t="str">
        <f t="shared" si="1"/>
        <v/>
      </c>
    </row>
    <row r="169" ht="15.75" customHeight="1">
      <c r="N169" s="99"/>
      <c r="O169" s="99"/>
      <c r="P169" s="99"/>
      <c r="Q169" s="99"/>
      <c r="R169" s="99"/>
      <c r="S169" s="99"/>
      <c r="T169" s="99"/>
      <c r="U169" s="99"/>
      <c r="V169" s="99"/>
      <c r="W169" s="99"/>
      <c r="X169" s="99"/>
      <c r="Y169" s="99"/>
      <c r="Z169" s="99"/>
      <c r="AA169" s="99"/>
      <c r="AB169" s="99"/>
      <c r="AC169" s="95" t="str">
        <f t="shared" si="1"/>
        <v/>
      </c>
    </row>
    <row r="170" ht="15.75" customHeight="1">
      <c r="N170" s="99"/>
      <c r="O170" s="99"/>
      <c r="P170" s="99"/>
      <c r="Q170" s="99"/>
      <c r="R170" s="99"/>
      <c r="S170" s="99"/>
      <c r="T170" s="99"/>
      <c r="U170" s="99"/>
      <c r="V170" s="99"/>
      <c r="W170" s="99"/>
      <c r="X170" s="99"/>
      <c r="Y170" s="99"/>
      <c r="Z170" s="99"/>
      <c r="AA170" s="99"/>
      <c r="AB170" s="99"/>
      <c r="AC170" s="95" t="str">
        <f t="shared" si="1"/>
        <v/>
      </c>
    </row>
    <row r="171" ht="15.75" customHeight="1">
      <c r="N171" s="99"/>
      <c r="O171" s="99"/>
      <c r="P171" s="99"/>
      <c r="Q171" s="99"/>
      <c r="R171" s="99"/>
      <c r="S171" s="99"/>
      <c r="T171" s="99"/>
      <c r="U171" s="99"/>
      <c r="V171" s="99"/>
      <c r="W171" s="99"/>
      <c r="X171" s="99"/>
      <c r="Y171" s="99"/>
      <c r="Z171" s="99"/>
      <c r="AA171" s="99"/>
      <c r="AB171" s="99"/>
      <c r="AC171" s="95" t="str">
        <f t="shared" si="1"/>
        <v/>
      </c>
    </row>
    <row r="172" ht="15.75" customHeight="1">
      <c r="N172" s="99"/>
      <c r="O172" s="99"/>
      <c r="P172" s="99"/>
      <c r="Q172" s="99"/>
      <c r="R172" s="99"/>
      <c r="S172" s="99"/>
      <c r="T172" s="99"/>
      <c r="U172" s="99"/>
      <c r="V172" s="99"/>
      <c r="W172" s="99"/>
      <c r="X172" s="99"/>
      <c r="Y172" s="99"/>
      <c r="Z172" s="99"/>
      <c r="AA172" s="99"/>
      <c r="AB172" s="99"/>
      <c r="AC172" s="95" t="str">
        <f t="shared" si="1"/>
        <v/>
      </c>
    </row>
    <row r="173" ht="15.75" customHeight="1">
      <c r="N173" s="99"/>
      <c r="O173" s="99"/>
      <c r="P173" s="99"/>
      <c r="Q173" s="99"/>
      <c r="R173" s="99"/>
      <c r="S173" s="99"/>
      <c r="T173" s="99"/>
      <c r="U173" s="99"/>
      <c r="V173" s="99"/>
      <c r="W173" s="99"/>
      <c r="X173" s="99"/>
      <c r="Y173" s="99"/>
      <c r="Z173" s="99"/>
      <c r="AA173" s="99"/>
      <c r="AB173" s="99"/>
      <c r="AC173" s="95" t="str">
        <f t="shared" si="1"/>
        <v/>
      </c>
    </row>
    <row r="174" ht="15.75" customHeight="1">
      <c r="N174" s="99"/>
      <c r="O174" s="99"/>
      <c r="P174" s="99"/>
      <c r="Q174" s="99"/>
      <c r="R174" s="99"/>
      <c r="S174" s="99"/>
      <c r="T174" s="99"/>
      <c r="U174" s="99"/>
      <c r="V174" s="99"/>
      <c r="W174" s="99"/>
      <c r="X174" s="99"/>
      <c r="Y174" s="99"/>
      <c r="Z174" s="99"/>
      <c r="AA174" s="99"/>
      <c r="AB174" s="99"/>
      <c r="AC174" s="95" t="str">
        <f t="shared" si="1"/>
        <v/>
      </c>
    </row>
    <row r="175" ht="15.75" customHeight="1">
      <c r="N175" s="99"/>
      <c r="O175" s="99"/>
      <c r="P175" s="99"/>
      <c r="Q175" s="99"/>
      <c r="R175" s="99"/>
      <c r="S175" s="99"/>
      <c r="T175" s="99"/>
      <c r="U175" s="99"/>
      <c r="V175" s="99"/>
      <c r="W175" s="99"/>
      <c r="X175" s="99"/>
      <c r="Y175" s="99"/>
      <c r="Z175" s="99"/>
      <c r="AA175" s="99"/>
      <c r="AB175" s="99"/>
      <c r="AC175" s="95" t="str">
        <f t="shared" si="1"/>
        <v/>
      </c>
    </row>
    <row r="176" ht="15.75" customHeight="1"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9"/>
      <c r="AC176" s="95" t="str">
        <f t="shared" si="1"/>
        <v/>
      </c>
    </row>
    <row r="177" ht="15.75" customHeight="1">
      <c r="N177" s="99"/>
      <c r="O177" s="99"/>
      <c r="P177" s="99"/>
      <c r="Q177" s="99"/>
      <c r="R177" s="99"/>
      <c r="S177" s="99"/>
      <c r="T177" s="99"/>
      <c r="U177" s="99"/>
      <c r="V177" s="99"/>
      <c r="W177" s="99"/>
      <c r="X177" s="99"/>
      <c r="Y177" s="99"/>
      <c r="Z177" s="99"/>
      <c r="AA177" s="99"/>
      <c r="AB177" s="99"/>
      <c r="AC177" s="95" t="str">
        <f t="shared" si="1"/>
        <v/>
      </c>
    </row>
    <row r="178" ht="15.75" customHeight="1">
      <c r="N178" s="99"/>
      <c r="O178" s="99"/>
      <c r="P178" s="99"/>
      <c r="Q178" s="99"/>
      <c r="R178" s="99"/>
      <c r="S178" s="99"/>
      <c r="T178" s="99"/>
      <c r="U178" s="99"/>
      <c r="V178" s="99"/>
      <c r="W178" s="99"/>
      <c r="X178" s="99"/>
      <c r="Y178" s="99"/>
      <c r="Z178" s="99"/>
      <c r="AA178" s="99"/>
      <c r="AB178" s="99"/>
      <c r="AC178" s="95" t="str">
        <f t="shared" si="1"/>
        <v/>
      </c>
    </row>
    <row r="179" ht="15.75" customHeight="1">
      <c r="N179" s="99"/>
      <c r="O179" s="99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9"/>
      <c r="AA179" s="99"/>
      <c r="AB179" s="99"/>
      <c r="AC179" s="95" t="str">
        <f t="shared" si="1"/>
        <v/>
      </c>
    </row>
    <row r="180" ht="15.75" customHeight="1">
      <c r="N180" s="99"/>
      <c r="O180" s="99"/>
      <c r="P180" s="99"/>
      <c r="Q180" s="99"/>
      <c r="R180" s="99"/>
      <c r="S180" s="99"/>
      <c r="T180" s="99"/>
      <c r="U180" s="99"/>
      <c r="V180" s="99"/>
      <c r="W180" s="99"/>
      <c r="X180" s="99"/>
      <c r="Y180" s="99"/>
      <c r="Z180" s="99"/>
      <c r="AA180" s="99"/>
      <c r="AB180" s="99"/>
      <c r="AC180" s="95" t="str">
        <f t="shared" si="1"/>
        <v/>
      </c>
    </row>
    <row r="181" ht="15.75" customHeight="1">
      <c r="N181" s="99"/>
      <c r="O181" s="99"/>
      <c r="P181" s="99"/>
      <c r="Q181" s="99"/>
      <c r="R181" s="99"/>
      <c r="S181" s="99"/>
      <c r="T181" s="99"/>
      <c r="U181" s="99"/>
      <c r="V181" s="99"/>
      <c r="W181" s="99"/>
      <c r="X181" s="99"/>
      <c r="Y181" s="99"/>
      <c r="Z181" s="99"/>
      <c r="AA181" s="99"/>
      <c r="AB181" s="99"/>
      <c r="AC181" s="95" t="str">
        <f t="shared" si="1"/>
        <v/>
      </c>
    </row>
    <row r="182" ht="15.75" customHeight="1">
      <c r="N182" s="99"/>
      <c r="O182" s="99"/>
      <c r="P182" s="99"/>
      <c r="Q182" s="99"/>
      <c r="R182" s="99"/>
      <c r="S182" s="99"/>
      <c r="T182" s="99"/>
      <c r="U182" s="99"/>
      <c r="V182" s="99"/>
      <c r="W182" s="99"/>
      <c r="X182" s="99"/>
      <c r="Y182" s="99"/>
      <c r="Z182" s="99"/>
      <c r="AA182" s="99"/>
      <c r="AB182" s="99"/>
      <c r="AC182" s="95" t="str">
        <f t="shared" si="1"/>
        <v/>
      </c>
    </row>
    <row r="183" ht="15.75" customHeight="1">
      <c r="N183" s="99"/>
      <c r="O183" s="99"/>
      <c r="P183" s="99"/>
      <c r="Q183" s="99"/>
      <c r="R183" s="99"/>
      <c r="S183" s="99"/>
      <c r="T183" s="99"/>
      <c r="U183" s="99"/>
      <c r="V183" s="99"/>
      <c r="W183" s="99"/>
      <c r="X183" s="99"/>
      <c r="Y183" s="99"/>
      <c r="Z183" s="99"/>
      <c r="AA183" s="99"/>
      <c r="AB183" s="99"/>
      <c r="AC183" s="95" t="str">
        <f t="shared" si="1"/>
        <v/>
      </c>
    </row>
    <row r="184" ht="15.75" customHeight="1">
      <c r="N184" s="99"/>
      <c r="O184" s="99"/>
      <c r="P184" s="99"/>
      <c r="Q184" s="99"/>
      <c r="R184" s="99"/>
      <c r="S184" s="99"/>
      <c r="T184" s="99"/>
      <c r="U184" s="99"/>
      <c r="V184" s="99"/>
      <c r="W184" s="99"/>
      <c r="X184" s="99"/>
      <c r="Y184" s="99"/>
      <c r="Z184" s="99"/>
      <c r="AA184" s="99"/>
      <c r="AB184" s="99"/>
      <c r="AC184" s="95" t="str">
        <f t="shared" si="1"/>
        <v/>
      </c>
    </row>
    <row r="185" ht="15.75" customHeight="1">
      <c r="N185" s="99"/>
      <c r="O185" s="99"/>
      <c r="P185" s="99"/>
      <c r="Q185" s="99"/>
      <c r="R185" s="99"/>
      <c r="S185" s="99"/>
      <c r="T185" s="99"/>
      <c r="U185" s="99"/>
      <c r="V185" s="99"/>
      <c r="W185" s="99"/>
      <c r="X185" s="99"/>
      <c r="Y185" s="99"/>
      <c r="Z185" s="99"/>
      <c r="AA185" s="99"/>
      <c r="AB185" s="99"/>
      <c r="AC185" s="95" t="str">
        <f t="shared" si="1"/>
        <v/>
      </c>
    </row>
    <row r="186" ht="15.75" customHeight="1">
      <c r="N186" s="99"/>
      <c r="O186" s="99"/>
      <c r="P186" s="99"/>
      <c r="Q186" s="99"/>
      <c r="R186" s="99"/>
      <c r="S186" s="99"/>
      <c r="T186" s="99"/>
      <c r="U186" s="99"/>
      <c r="V186" s="99"/>
      <c r="W186" s="99"/>
      <c r="X186" s="99"/>
      <c r="Y186" s="99"/>
      <c r="Z186" s="99"/>
      <c r="AA186" s="99"/>
      <c r="AB186" s="99"/>
      <c r="AC186" s="95" t="str">
        <f t="shared" si="1"/>
        <v/>
      </c>
    </row>
    <row r="187" ht="15.75" customHeight="1">
      <c r="N187" s="99"/>
      <c r="O187" s="99"/>
      <c r="P187" s="99"/>
      <c r="Q187" s="99"/>
      <c r="R187" s="99"/>
      <c r="S187" s="99"/>
      <c r="T187" s="99"/>
      <c r="U187" s="99"/>
      <c r="V187" s="99"/>
      <c r="W187" s="99"/>
      <c r="X187" s="99"/>
      <c r="Y187" s="99"/>
      <c r="Z187" s="99"/>
      <c r="AA187" s="99"/>
      <c r="AB187" s="99"/>
      <c r="AC187" s="95" t="str">
        <f t="shared" si="1"/>
        <v/>
      </c>
    </row>
    <row r="188" ht="15.75" customHeight="1">
      <c r="N188" s="99"/>
      <c r="O188" s="99"/>
      <c r="P188" s="99"/>
      <c r="Q188" s="99"/>
      <c r="R188" s="99"/>
      <c r="S188" s="99"/>
      <c r="T188" s="99"/>
      <c r="U188" s="99"/>
      <c r="V188" s="99"/>
      <c r="W188" s="99"/>
      <c r="X188" s="99"/>
      <c r="Y188" s="99"/>
      <c r="Z188" s="99"/>
      <c r="AA188" s="99"/>
      <c r="AB188" s="99"/>
      <c r="AC188" s="95" t="str">
        <f t="shared" si="1"/>
        <v/>
      </c>
    </row>
    <row r="189" ht="15.75" customHeight="1">
      <c r="N189" s="99"/>
      <c r="O189" s="99"/>
      <c r="P189" s="99"/>
      <c r="Q189" s="99"/>
      <c r="R189" s="99"/>
      <c r="S189" s="99"/>
      <c r="T189" s="99"/>
      <c r="U189" s="99"/>
      <c r="V189" s="99"/>
      <c r="W189" s="99"/>
      <c r="X189" s="99"/>
      <c r="Y189" s="99"/>
      <c r="Z189" s="99"/>
      <c r="AA189" s="99"/>
      <c r="AB189" s="99"/>
      <c r="AC189" s="95" t="str">
        <f t="shared" si="1"/>
        <v/>
      </c>
    </row>
    <row r="190" ht="15.75" customHeight="1">
      <c r="N190" s="99"/>
      <c r="O190" s="99"/>
      <c r="P190" s="99"/>
      <c r="Q190" s="99"/>
      <c r="R190" s="99"/>
      <c r="S190" s="99"/>
      <c r="T190" s="99"/>
      <c r="U190" s="99"/>
      <c r="V190" s="99"/>
      <c r="W190" s="99"/>
      <c r="X190" s="99"/>
      <c r="Y190" s="99"/>
      <c r="Z190" s="99"/>
      <c r="AA190" s="99"/>
      <c r="AB190" s="99"/>
      <c r="AC190" s="95" t="str">
        <f t="shared" si="1"/>
        <v/>
      </c>
    </row>
    <row r="191" ht="15.75" customHeight="1">
      <c r="N191" s="99"/>
      <c r="O191" s="99"/>
      <c r="P191" s="99"/>
      <c r="Q191" s="99"/>
      <c r="R191" s="99"/>
      <c r="S191" s="99"/>
      <c r="T191" s="99"/>
      <c r="U191" s="99"/>
      <c r="V191" s="99"/>
      <c r="W191" s="99"/>
      <c r="X191" s="99"/>
      <c r="Y191" s="99"/>
      <c r="Z191" s="99"/>
      <c r="AA191" s="99"/>
      <c r="AB191" s="99"/>
      <c r="AC191" s="95" t="str">
        <f t="shared" si="1"/>
        <v/>
      </c>
    </row>
    <row r="192" ht="15.75" customHeight="1">
      <c r="N192" s="99"/>
      <c r="O192" s="99"/>
      <c r="P192" s="99"/>
      <c r="Q192" s="99"/>
      <c r="R192" s="99"/>
      <c r="S192" s="99"/>
      <c r="T192" s="99"/>
      <c r="U192" s="99"/>
      <c r="V192" s="99"/>
      <c r="W192" s="99"/>
      <c r="X192" s="99"/>
      <c r="Y192" s="99"/>
      <c r="Z192" s="99"/>
      <c r="AA192" s="99"/>
      <c r="AB192" s="99"/>
      <c r="AC192" s="95" t="str">
        <f t="shared" si="1"/>
        <v/>
      </c>
    </row>
    <row r="193" ht="15.75" customHeight="1">
      <c r="N193" s="99"/>
      <c r="O193" s="99"/>
      <c r="P193" s="99"/>
      <c r="Q193" s="99"/>
      <c r="R193" s="99"/>
      <c r="S193" s="99"/>
      <c r="T193" s="99"/>
      <c r="U193" s="99"/>
      <c r="V193" s="99"/>
      <c r="W193" s="99"/>
      <c r="X193" s="99"/>
      <c r="Y193" s="99"/>
      <c r="Z193" s="99"/>
      <c r="AA193" s="99"/>
      <c r="AB193" s="99"/>
      <c r="AC193" s="95" t="str">
        <f t="shared" si="1"/>
        <v/>
      </c>
    </row>
    <row r="194" ht="15.75" customHeight="1">
      <c r="N194" s="99"/>
      <c r="O194" s="99"/>
      <c r="P194" s="99"/>
      <c r="Q194" s="99"/>
      <c r="R194" s="99"/>
      <c r="S194" s="99"/>
      <c r="T194" s="99"/>
      <c r="U194" s="99"/>
      <c r="V194" s="99"/>
      <c r="W194" s="99"/>
      <c r="X194" s="99"/>
      <c r="Y194" s="99"/>
      <c r="Z194" s="99"/>
      <c r="AA194" s="99"/>
      <c r="AB194" s="99"/>
      <c r="AC194" s="95" t="str">
        <f t="shared" si="1"/>
        <v/>
      </c>
    </row>
    <row r="195" ht="15.75" customHeight="1">
      <c r="N195" s="99"/>
      <c r="O195" s="99"/>
      <c r="P195" s="99"/>
      <c r="Q195" s="99"/>
      <c r="R195" s="99"/>
      <c r="S195" s="99"/>
      <c r="T195" s="99"/>
      <c r="U195" s="99"/>
      <c r="V195" s="99"/>
      <c r="W195" s="99"/>
      <c r="X195" s="99"/>
      <c r="Y195" s="99"/>
      <c r="Z195" s="99"/>
      <c r="AA195" s="99"/>
      <c r="AB195" s="99"/>
      <c r="AC195" s="95" t="str">
        <f t="shared" si="1"/>
        <v/>
      </c>
    </row>
    <row r="196" ht="15.75" customHeight="1">
      <c r="N196" s="99"/>
      <c r="O196" s="99"/>
      <c r="P196" s="99"/>
      <c r="Q196" s="99"/>
      <c r="R196" s="99"/>
      <c r="S196" s="99"/>
      <c r="T196" s="99"/>
      <c r="U196" s="99"/>
      <c r="V196" s="99"/>
      <c r="W196" s="99"/>
      <c r="X196" s="99"/>
      <c r="Y196" s="99"/>
      <c r="Z196" s="99"/>
      <c r="AA196" s="99"/>
      <c r="AB196" s="99"/>
      <c r="AC196" s="95" t="str">
        <f t="shared" si="1"/>
        <v/>
      </c>
    </row>
    <row r="197" ht="15.75" customHeight="1">
      <c r="N197" s="99"/>
      <c r="O197" s="99"/>
      <c r="P197" s="99"/>
      <c r="Q197" s="99"/>
      <c r="R197" s="99"/>
      <c r="S197" s="99"/>
      <c r="T197" s="99"/>
      <c r="U197" s="99"/>
      <c r="V197" s="99"/>
      <c r="W197" s="99"/>
      <c r="X197" s="99"/>
      <c r="Y197" s="99"/>
      <c r="Z197" s="99"/>
      <c r="AA197" s="99"/>
      <c r="AB197" s="99"/>
      <c r="AC197" s="95" t="str">
        <f t="shared" si="1"/>
        <v/>
      </c>
    </row>
    <row r="198" ht="15.75" customHeight="1">
      <c r="N198" s="99"/>
      <c r="O198" s="99"/>
      <c r="P198" s="99"/>
      <c r="Q198" s="99"/>
      <c r="R198" s="99"/>
      <c r="S198" s="99"/>
      <c r="T198" s="99"/>
      <c r="U198" s="99"/>
      <c r="V198" s="99"/>
      <c r="W198" s="99"/>
      <c r="X198" s="99"/>
      <c r="Y198" s="99"/>
      <c r="Z198" s="99"/>
      <c r="AA198" s="99"/>
      <c r="AB198" s="99"/>
      <c r="AC198" s="95" t="str">
        <f t="shared" si="1"/>
        <v/>
      </c>
    </row>
    <row r="199" ht="15.75" customHeight="1">
      <c r="N199" s="99"/>
      <c r="O199" s="99"/>
      <c r="P199" s="99"/>
      <c r="Q199" s="99"/>
      <c r="R199" s="99"/>
      <c r="S199" s="99"/>
      <c r="T199" s="99"/>
      <c r="U199" s="99"/>
      <c r="V199" s="99"/>
      <c r="W199" s="99"/>
      <c r="X199" s="99"/>
      <c r="Y199" s="99"/>
      <c r="Z199" s="99"/>
      <c r="AA199" s="99"/>
      <c r="AB199" s="99"/>
      <c r="AC199" s="95" t="str">
        <f t="shared" si="1"/>
        <v/>
      </c>
    </row>
    <row r="200" ht="15.75" customHeight="1">
      <c r="N200" s="99"/>
      <c r="O200" s="99"/>
      <c r="P200" s="99"/>
      <c r="Q200" s="99"/>
      <c r="R200" s="99"/>
      <c r="S200" s="99"/>
      <c r="T200" s="99"/>
      <c r="U200" s="99"/>
      <c r="V200" s="99"/>
      <c r="W200" s="99"/>
      <c r="X200" s="99"/>
      <c r="Y200" s="99"/>
      <c r="Z200" s="99"/>
      <c r="AA200" s="99"/>
      <c r="AB200" s="99"/>
      <c r="AC200" s="95" t="str">
        <f t="shared" si="1"/>
        <v/>
      </c>
    </row>
    <row r="201" ht="15.75" customHeight="1">
      <c r="N201" s="99"/>
      <c r="O201" s="99"/>
      <c r="P201" s="99"/>
      <c r="Q201" s="99"/>
      <c r="R201" s="99"/>
      <c r="S201" s="99"/>
      <c r="T201" s="99"/>
      <c r="U201" s="99"/>
      <c r="V201" s="99"/>
      <c r="W201" s="99"/>
      <c r="X201" s="99"/>
      <c r="Y201" s="99"/>
      <c r="Z201" s="99"/>
      <c r="AA201" s="99"/>
      <c r="AB201" s="99"/>
      <c r="AC201" s="95" t="str">
        <f t="shared" si="1"/>
        <v/>
      </c>
    </row>
    <row r="202" ht="15.75" customHeight="1">
      <c r="N202" s="99"/>
      <c r="O202" s="99"/>
      <c r="P202" s="99"/>
      <c r="Q202" s="99"/>
      <c r="R202" s="99"/>
      <c r="S202" s="99"/>
      <c r="T202" s="99"/>
      <c r="U202" s="99"/>
      <c r="V202" s="99"/>
      <c r="W202" s="99"/>
      <c r="X202" s="99"/>
      <c r="Y202" s="99"/>
      <c r="Z202" s="99"/>
      <c r="AA202" s="99"/>
      <c r="AB202" s="99"/>
      <c r="AC202" s="95" t="str">
        <f t="shared" si="1"/>
        <v/>
      </c>
    </row>
    <row r="203" ht="15.75" customHeight="1">
      <c r="N203" s="99"/>
      <c r="O203" s="99"/>
      <c r="P203" s="99"/>
      <c r="Q203" s="99"/>
      <c r="R203" s="99"/>
      <c r="S203" s="99"/>
      <c r="T203" s="99"/>
      <c r="U203" s="99"/>
      <c r="V203" s="99"/>
      <c r="W203" s="99"/>
      <c r="X203" s="99"/>
      <c r="Y203" s="99"/>
      <c r="Z203" s="99"/>
      <c r="AA203" s="99"/>
      <c r="AB203" s="99"/>
      <c r="AC203" s="95" t="str">
        <f t="shared" si="1"/>
        <v/>
      </c>
    </row>
    <row r="204" ht="15.75" customHeight="1">
      <c r="N204" s="99"/>
      <c r="O204" s="99"/>
      <c r="P204" s="99"/>
      <c r="Q204" s="99"/>
      <c r="R204" s="99"/>
      <c r="S204" s="99"/>
      <c r="T204" s="99"/>
      <c r="U204" s="99"/>
      <c r="V204" s="99"/>
      <c r="W204" s="99"/>
      <c r="X204" s="99"/>
      <c r="Y204" s="99"/>
      <c r="Z204" s="99"/>
      <c r="AA204" s="99"/>
      <c r="AB204" s="99"/>
      <c r="AC204" s="95" t="str">
        <f t="shared" si="1"/>
        <v/>
      </c>
    </row>
    <row r="205" ht="15.75" customHeight="1">
      <c r="N205" s="99"/>
      <c r="O205" s="99"/>
      <c r="P205" s="99"/>
      <c r="Q205" s="99"/>
      <c r="R205" s="99"/>
      <c r="S205" s="99"/>
      <c r="T205" s="99"/>
      <c r="U205" s="99"/>
      <c r="V205" s="99"/>
      <c r="W205" s="99"/>
      <c r="X205" s="99"/>
      <c r="Y205" s="99"/>
      <c r="Z205" s="99"/>
      <c r="AA205" s="99"/>
      <c r="AB205" s="99"/>
      <c r="AC205" s="95" t="str">
        <f t="shared" si="1"/>
        <v/>
      </c>
    </row>
    <row r="206" ht="15.75" customHeight="1">
      <c r="N206" s="99"/>
      <c r="O206" s="99"/>
      <c r="P206" s="99"/>
      <c r="Q206" s="99"/>
      <c r="R206" s="99"/>
      <c r="S206" s="99"/>
      <c r="T206" s="99"/>
      <c r="U206" s="99"/>
      <c r="V206" s="99"/>
      <c r="W206" s="99"/>
      <c r="X206" s="99"/>
      <c r="Y206" s="99"/>
      <c r="Z206" s="99"/>
      <c r="AA206" s="99"/>
      <c r="AB206" s="99"/>
      <c r="AC206" s="95" t="str">
        <f t="shared" si="1"/>
        <v/>
      </c>
    </row>
    <row r="207" ht="15.75" customHeight="1">
      <c r="N207" s="99"/>
      <c r="O207" s="99"/>
      <c r="P207" s="99"/>
      <c r="Q207" s="99"/>
      <c r="R207" s="99"/>
      <c r="S207" s="99"/>
      <c r="T207" s="99"/>
      <c r="U207" s="99"/>
      <c r="V207" s="99"/>
      <c r="W207" s="99"/>
      <c r="X207" s="99"/>
      <c r="Y207" s="99"/>
      <c r="Z207" s="99"/>
      <c r="AA207" s="99"/>
      <c r="AB207" s="99"/>
      <c r="AC207" s="95" t="str">
        <f t="shared" si="1"/>
        <v/>
      </c>
    </row>
    <row r="208" ht="15.75" customHeight="1">
      <c r="N208" s="99"/>
      <c r="O208" s="99"/>
      <c r="P208" s="99"/>
      <c r="Q208" s="99"/>
      <c r="R208" s="99"/>
      <c r="S208" s="99"/>
      <c r="T208" s="99"/>
      <c r="U208" s="99"/>
      <c r="V208" s="99"/>
      <c r="W208" s="99"/>
      <c r="X208" s="99"/>
      <c r="Y208" s="99"/>
      <c r="Z208" s="99"/>
      <c r="AA208" s="99"/>
      <c r="AB208" s="99"/>
      <c r="AC208" s="95" t="str">
        <f t="shared" si="1"/>
        <v/>
      </c>
    </row>
    <row r="209" ht="15.75" customHeight="1">
      <c r="N209" s="99"/>
      <c r="O209" s="99"/>
      <c r="P209" s="99"/>
      <c r="Q209" s="99"/>
      <c r="R209" s="99"/>
      <c r="S209" s="99"/>
      <c r="T209" s="99"/>
      <c r="U209" s="99"/>
      <c r="V209" s="99"/>
      <c r="W209" s="99"/>
      <c r="X209" s="99"/>
      <c r="Y209" s="99"/>
      <c r="Z209" s="99"/>
      <c r="AA209" s="99"/>
      <c r="AB209" s="99"/>
      <c r="AC209" s="95" t="str">
        <f t="shared" si="1"/>
        <v/>
      </c>
    </row>
    <row r="210" ht="15.75" customHeight="1">
      <c r="N210" s="99"/>
      <c r="O210" s="99"/>
      <c r="P210" s="99"/>
      <c r="Q210" s="99"/>
      <c r="R210" s="99"/>
      <c r="S210" s="99"/>
      <c r="T210" s="99"/>
      <c r="U210" s="99"/>
      <c r="V210" s="99"/>
      <c r="W210" s="99"/>
      <c r="X210" s="99"/>
      <c r="Y210" s="99"/>
      <c r="Z210" s="99"/>
      <c r="AA210" s="99"/>
      <c r="AB210" s="99"/>
      <c r="AC210" s="95" t="str">
        <f t="shared" si="1"/>
        <v/>
      </c>
    </row>
    <row r="211" ht="15.75" customHeight="1">
      <c r="N211" s="99"/>
      <c r="O211" s="99"/>
      <c r="P211" s="99"/>
      <c r="Q211" s="99"/>
      <c r="R211" s="99"/>
      <c r="S211" s="99"/>
      <c r="T211" s="99"/>
      <c r="U211" s="99"/>
      <c r="V211" s="99"/>
      <c r="W211" s="99"/>
      <c r="X211" s="99"/>
      <c r="Y211" s="99"/>
      <c r="Z211" s="99"/>
      <c r="AA211" s="99"/>
      <c r="AB211" s="99"/>
      <c r="AC211" s="95" t="str">
        <f t="shared" si="1"/>
        <v/>
      </c>
    </row>
    <row r="212" ht="15.75" customHeight="1">
      <c r="N212" s="99"/>
      <c r="O212" s="99"/>
      <c r="P212" s="99"/>
      <c r="Q212" s="99"/>
      <c r="R212" s="99"/>
      <c r="S212" s="99"/>
      <c r="T212" s="99"/>
      <c r="U212" s="99"/>
      <c r="V212" s="99"/>
      <c r="W212" s="99"/>
      <c r="X212" s="99"/>
      <c r="Y212" s="99"/>
      <c r="Z212" s="99"/>
      <c r="AA212" s="99"/>
      <c r="AB212" s="99"/>
      <c r="AC212" s="95" t="str">
        <f t="shared" si="1"/>
        <v/>
      </c>
    </row>
    <row r="213" ht="15.75" customHeight="1">
      <c r="N213" s="99"/>
      <c r="O213" s="99"/>
      <c r="P213" s="99"/>
      <c r="Q213" s="99"/>
      <c r="R213" s="99"/>
      <c r="S213" s="99"/>
      <c r="T213" s="99"/>
      <c r="U213" s="99"/>
      <c r="V213" s="99"/>
      <c r="W213" s="99"/>
      <c r="X213" s="99"/>
      <c r="Y213" s="99"/>
      <c r="Z213" s="99"/>
      <c r="AA213" s="99"/>
      <c r="AB213" s="99"/>
      <c r="AC213" s="95" t="str">
        <f t="shared" si="1"/>
        <v/>
      </c>
    </row>
    <row r="214" ht="15.75" customHeight="1">
      <c r="N214" s="99"/>
      <c r="O214" s="99"/>
      <c r="P214" s="99"/>
      <c r="Q214" s="99"/>
      <c r="R214" s="99"/>
      <c r="S214" s="99"/>
      <c r="T214" s="99"/>
      <c r="U214" s="99"/>
      <c r="V214" s="99"/>
      <c r="W214" s="99"/>
      <c r="X214" s="99"/>
      <c r="Y214" s="99"/>
      <c r="Z214" s="99"/>
      <c r="AA214" s="99"/>
      <c r="AB214" s="99"/>
      <c r="AC214" s="95" t="str">
        <f t="shared" si="1"/>
        <v/>
      </c>
    </row>
    <row r="215" ht="15.75" customHeight="1">
      <c r="N215" s="99"/>
      <c r="O215" s="99"/>
      <c r="P215" s="99"/>
      <c r="Q215" s="99"/>
      <c r="R215" s="99"/>
      <c r="S215" s="99"/>
      <c r="T215" s="99"/>
      <c r="U215" s="99"/>
      <c r="V215" s="99"/>
      <c r="W215" s="99"/>
      <c r="X215" s="99"/>
      <c r="Y215" s="99"/>
      <c r="Z215" s="99"/>
      <c r="AA215" s="99"/>
      <c r="AB215" s="99"/>
      <c r="AC215" s="95" t="str">
        <f t="shared" si="1"/>
        <v/>
      </c>
    </row>
    <row r="216" ht="15.75" customHeight="1">
      <c r="N216" s="99"/>
      <c r="O216" s="99"/>
      <c r="P216" s="99"/>
      <c r="Q216" s="99"/>
      <c r="R216" s="99"/>
      <c r="S216" s="99"/>
      <c r="T216" s="99"/>
      <c r="U216" s="99"/>
      <c r="V216" s="99"/>
      <c r="W216" s="99"/>
      <c r="X216" s="99"/>
      <c r="Y216" s="99"/>
      <c r="Z216" s="99"/>
      <c r="AA216" s="99"/>
      <c r="AB216" s="99"/>
      <c r="AC216" s="95" t="str">
        <f t="shared" si="1"/>
        <v/>
      </c>
    </row>
    <row r="217" ht="15.75" customHeight="1">
      <c r="N217" s="99"/>
      <c r="O217" s="99"/>
      <c r="P217" s="99"/>
      <c r="Q217" s="99"/>
      <c r="R217" s="99"/>
      <c r="S217" s="99"/>
      <c r="T217" s="99"/>
      <c r="U217" s="99"/>
      <c r="V217" s="99"/>
      <c r="W217" s="99"/>
      <c r="X217" s="99"/>
      <c r="Y217" s="99"/>
      <c r="Z217" s="99"/>
      <c r="AA217" s="99"/>
      <c r="AB217" s="99"/>
      <c r="AC217" s="95" t="str">
        <f t="shared" si="1"/>
        <v/>
      </c>
    </row>
    <row r="218" ht="15.75" customHeight="1">
      <c r="N218" s="99"/>
      <c r="O218" s="99"/>
      <c r="P218" s="99"/>
      <c r="Q218" s="99"/>
      <c r="R218" s="99"/>
      <c r="S218" s="99"/>
      <c r="T218" s="99"/>
      <c r="U218" s="99"/>
      <c r="V218" s="99"/>
      <c r="W218" s="99"/>
      <c r="X218" s="99"/>
      <c r="Y218" s="99"/>
      <c r="Z218" s="99"/>
      <c r="AA218" s="99"/>
      <c r="AB218" s="99"/>
      <c r="AC218" s="95" t="str">
        <f t="shared" si="1"/>
        <v/>
      </c>
    </row>
    <row r="219" ht="15.75" customHeight="1">
      <c r="N219" s="99"/>
      <c r="O219" s="99"/>
      <c r="P219" s="99"/>
      <c r="Q219" s="99"/>
      <c r="R219" s="99"/>
      <c r="S219" s="99"/>
      <c r="T219" s="99"/>
      <c r="U219" s="99"/>
      <c r="V219" s="99"/>
      <c r="W219" s="99"/>
      <c r="X219" s="99"/>
      <c r="Y219" s="99"/>
      <c r="Z219" s="99"/>
      <c r="AA219" s="99"/>
      <c r="AB219" s="99"/>
      <c r="AC219" s="95" t="str">
        <f t="shared" si="1"/>
        <v/>
      </c>
    </row>
    <row r="220" ht="15.75" customHeight="1">
      <c r="N220" s="99"/>
      <c r="O220" s="99"/>
      <c r="P220" s="99"/>
      <c r="Q220" s="99"/>
      <c r="R220" s="99"/>
      <c r="S220" s="99"/>
      <c r="T220" s="99"/>
      <c r="U220" s="99"/>
      <c r="V220" s="99"/>
      <c r="W220" s="99"/>
      <c r="X220" s="99"/>
      <c r="Y220" s="99"/>
      <c r="Z220" s="99"/>
      <c r="AA220" s="99"/>
      <c r="AB220" s="99"/>
      <c r="AC220" s="95" t="str">
        <f t="shared" si="1"/>
        <v/>
      </c>
    </row>
    <row r="221" ht="15.75" customHeight="1">
      <c r="N221" s="99"/>
      <c r="O221" s="99"/>
      <c r="P221" s="99"/>
      <c r="Q221" s="99"/>
      <c r="R221" s="99"/>
      <c r="S221" s="99"/>
      <c r="T221" s="99"/>
      <c r="U221" s="99"/>
      <c r="V221" s="99"/>
      <c r="W221" s="99"/>
      <c r="X221" s="99"/>
      <c r="Y221" s="99"/>
      <c r="Z221" s="99"/>
      <c r="AA221" s="99"/>
      <c r="AB221" s="99"/>
      <c r="AC221" s="95" t="str">
        <f t="shared" si="1"/>
        <v/>
      </c>
    </row>
    <row r="222" ht="15.75" customHeight="1">
      <c r="N222" s="99"/>
      <c r="O222" s="99"/>
      <c r="P222" s="99"/>
      <c r="Q222" s="99"/>
      <c r="R222" s="99"/>
      <c r="S222" s="99"/>
      <c r="T222" s="99"/>
      <c r="U222" s="99"/>
      <c r="V222" s="99"/>
      <c r="W222" s="99"/>
      <c r="X222" s="99"/>
      <c r="Y222" s="99"/>
      <c r="Z222" s="99"/>
      <c r="AA222" s="99"/>
      <c r="AB222" s="99"/>
      <c r="AC222" s="95" t="str">
        <f t="shared" si="1"/>
        <v/>
      </c>
    </row>
    <row r="223" ht="15.75" customHeight="1">
      <c r="N223" s="99"/>
      <c r="O223" s="99"/>
      <c r="P223" s="99"/>
      <c r="Q223" s="99"/>
      <c r="R223" s="99"/>
      <c r="S223" s="99"/>
      <c r="T223" s="99"/>
      <c r="U223" s="99"/>
      <c r="V223" s="99"/>
      <c r="W223" s="99"/>
      <c r="X223" s="99"/>
      <c r="Y223" s="99"/>
      <c r="Z223" s="99"/>
      <c r="AA223" s="99"/>
      <c r="AB223" s="99"/>
      <c r="AC223" s="95" t="str">
        <f t="shared" si="1"/>
        <v/>
      </c>
    </row>
    <row r="224" ht="15.75" customHeight="1">
      <c r="N224" s="99"/>
      <c r="O224" s="99"/>
      <c r="P224" s="99"/>
      <c r="Q224" s="99"/>
      <c r="R224" s="99"/>
      <c r="S224" s="99"/>
      <c r="T224" s="99"/>
      <c r="U224" s="99"/>
      <c r="V224" s="99"/>
      <c r="W224" s="99"/>
      <c r="X224" s="99"/>
      <c r="Y224" s="99"/>
      <c r="Z224" s="99"/>
      <c r="AA224" s="99"/>
      <c r="AB224" s="99"/>
      <c r="AC224" s="95" t="str">
        <f t="shared" si="1"/>
        <v/>
      </c>
    </row>
    <row r="225" ht="15.75" customHeight="1">
      <c r="N225" s="99"/>
      <c r="O225" s="99"/>
      <c r="P225" s="99"/>
      <c r="Q225" s="99"/>
      <c r="R225" s="99"/>
      <c r="S225" s="99"/>
      <c r="T225" s="99"/>
      <c r="U225" s="99"/>
      <c r="V225" s="99"/>
      <c r="W225" s="99"/>
      <c r="X225" s="99"/>
      <c r="Y225" s="99"/>
      <c r="Z225" s="99"/>
      <c r="AA225" s="99"/>
      <c r="AB225" s="99"/>
      <c r="AC225" s="95" t="str">
        <f t="shared" si="1"/>
        <v/>
      </c>
    </row>
    <row r="226" ht="15.75" customHeight="1">
      <c r="N226" s="99"/>
      <c r="O226" s="99"/>
      <c r="P226" s="99"/>
      <c r="Q226" s="99"/>
      <c r="R226" s="99"/>
      <c r="S226" s="99"/>
      <c r="T226" s="99"/>
      <c r="U226" s="99"/>
      <c r="V226" s="99"/>
      <c r="W226" s="99"/>
      <c r="X226" s="99"/>
      <c r="Y226" s="99"/>
      <c r="Z226" s="99"/>
      <c r="AA226" s="99"/>
      <c r="AB226" s="99"/>
      <c r="AC226" s="95" t="str">
        <f t="shared" si="1"/>
        <v/>
      </c>
    </row>
    <row r="227" ht="15.75" customHeight="1">
      <c r="N227" s="99"/>
      <c r="O227" s="99"/>
      <c r="P227" s="99"/>
      <c r="Q227" s="99"/>
      <c r="R227" s="99"/>
      <c r="S227" s="99"/>
      <c r="T227" s="99"/>
      <c r="U227" s="99"/>
      <c r="V227" s="99"/>
      <c r="W227" s="99"/>
      <c r="X227" s="99"/>
      <c r="Y227" s="99"/>
      <c r="Z227" s="99"/>
      <c r="AA227" s="99"/>
      <c r="AB227" s="99"/>
      <c r="AC227" s="95" t="str">
        <f t="shared" si="1"/>
        <v/>
      </c>
    </row>
    <row r="228" ht="15.75" customHeight="1">
      <c r="N228" s="99"/>
      <c r="O228" s="99"/>
      <c r="P228" s="99"/>
      <c r="Q228" s="99"/>
      <c r="R228" s="99"/>
      <c r="S228" s="99"/>
      <c r="T228" s="99"/>
      <c r="U228" s="99"/>
      <c r="V228" s="99"/>
      <c r="W228" s="99"/>
      <c r="X228" s="99"/>
      <c r="Y228" s="99"/>
      <c r="Z228" s="99"/>
      <c r="AA228" s="99"/>
      <c r="AB228" s="99"/>
      <c r="AC228" s="95" t="str">
        <f t="shared" si="1"/>
        <v/>
      </c>
    </row>
    <row r="229" ht="15.75" customHeight="1">
      <c r="N229" s="99"/>
      <c r="O229" s="99"/>
      <c r="P229" s="99"/>
      <c r="Q229" s="99"/>
      <c r="R229" s="99"/>
      <c r="S229" s="99"/>
      <c r="T229" s="99"/>
      <c r="U229" s="99"/>
      <c r="V229" s="99"/>
      <c r="W229" s="99"/>
      <c r="X229" s="99"/>
      <c r="Y229" s="99"/>
      <c r="Z229" s="99"/>
      <c r="AA229" s="99"/>
      <c r="AB229" s="99"/>
      <c r="AC229" s="95" t="str">
        <f t="shared" si="1"/>
        <v/>
      </c>
    </row>
    <row r="230" ht="15.75" customHeight="1">
      <c r="N230" s="99"/>
      <c r="O230" s="99"/>
      <c r="P230" s="99"/>
      <c r="Q230" s="99"/>
      <c r="R230" s="99"/>
      <c r="S230" s="99"/>
      <c r="T230" s="99"/>
      <c r="U230" s="99"/>
      <c r="V230" s="99"/>
      <c r="W230" s="99"/>
      <c r="X230" s="99"/>
      <c r="Y230" s="99"/>
      <c r="Z230" s="99"/>
      <c r="AA230" s="99"/>
      <c r="AB230" s="99"/>
      <c r="AC230" s="95" t="str">
        <f t="shared" si="1"/>
        <v/>
      </c>
    </row>
    <row r="231" ht="15.75" customHeight="1">
      <c r="N231" s="99"/>
      <c r="O231" s="99"/>
      <c r="P231" s="99"/>
      <c r="Q231" s="99"/>
      <c r="R231" s="99"/>
      <c r="S231" s="99"/>
      <c r="T231" s="99"/>
      <c r="U231" s="99"/>
      <c r="V231" s="99"/>
      <c r="W231" s="99"/>
      <c r="X231" s="99"/>
      <c r="Y231" s="99"/>
      <c r="Z231" s="99"/>
      <c r="AA231" s="99"/>
      <c r="AB231" s="99"/>
      <c r="AC231" s="95" t="str">
        <f t="shared" si="1"/>
        <v/>
      </c>
    </row>
    <row r="232" ht="15.75" customHeight="1">
      <c r="N232" s="99"/>
      <c r="O232" s="99"/>
      <c r="P232" s="99"/>
      <c r="Q232" s="99"/>
      <c r="R232" s="99"/>
      <c r="S232" s="99"/>
      <c r="T232" s="99"/>
      <c r="U232" s="99"/>
      <c r="V232" s="99"/>
      <c r="W232" s="99"/>
      <c r="X232" s="99"/>
      <c r="Y232" s="99"/>
      <c r="Z232" s="99"/>
      <c r="AA232" s="99"/>
      <c r="AB232" s="99"/>
      <c r="AC232" s="95" t="str">
        <f t="shared" si="1"/>
        <v/>
      </c>
    </row>
    <row r="233" ht="15.75" customHeight="1">
      <c r="N233" s="99"/>
      <c r="O233" s="99"/>
      <c r="P233" s="99"/>
      <c r="Q233" s="99"/>
      <c r="R233" s="99"/>
      <c r="S233" s="99"/>
      <c r="T233" s="99"/>
      <c r="U233" s="99"/>
      <c r="V233" s="99"/>
      <c r="W233" s="99"/>
      <c r="X233" s="99"/>
      <c r="Y233" s="99"/>
      <c r="Z233" s="99"/>
      <c r="AA233" s="99"/>
      <c r="AB233" s="99"/>
      <c r="AC233" s="95" t="str">
        <f t="shared" si="1"/>
        <v/>
      </c>
    </row>
    <row r="234" ht="15.75" customHeight="1">
      <c r="N234" s="99"/>
      <c r="O234" s="99"/>
      <c r="P234" s="99"/>
      <c r="Q234" s="99"/>
      <c r="R234" s="99"/>
      <c r="S234" s="99"/>
      <c r="T234" s="99"/>
      <c r="U234" s="99"/>
      <c r="V234" s="99"/>
      <c r="W234" s="99"/>
      <c r="X234" s="99"/>
      <c r="Y234" s="99"/>
      <c r="Z234" s="99"/>
      <c r="AA234" s="99"/>
      <c r="AB234" s="99"/>
      <c r="AC234" s="95" t="str">
        <f t="shared" si="1"/>
        <v/>
      </c>
    </row>
    <row r="235" ht="15.75" customHeight="1">
      <c r="N235" s="99"/>
      <c r="O235" s="99"/>
      <c r="P235" s="99"/>
      <c r="Q235" s="99"/>
      <c r="R235" s="99"/>
      <c r="S235" s="99"/>
      <c r="T235" s="99"/>
      <c r="U235" s="99"/>
      <c r="V235" s="99"/>
      <c r="W235" s="99"/>
      <c r="X235" s="99"/>
      <c r="Y235" s="99"/>
      <c r="Z235" s="99"/>
      <c r="AA235" s="99"/>
      <c r="AB235" s="99"/>
      <c r="AC235" s="95" t="str">
        <f t="shared" si="1"/>
        <v/>
      </c>
    </row>
    <row r="236" ht="15.75" customHeight="1">
      <c r="N236" s="99"/>
      <c r="O236" s="99"/>
      <c r="P236" s="99"/>
      <c r="Q236" s="99"/>
      <c r="R236" s="99"/>
      <c r="S236" s="99"/>
      <c r="T236" s="99"/>
      <c r="U236" s="99"/>
      <c r="V236" s="99"/>
      <c r="W236" s="99"/>
      <c r="X236" s="99"/>
      <c r="Y236" s="99"/>
      <c r="Z236" s="99"/>
      <c r="AA236" s="99"/>
      <c r="AB236" s="99"/>
      <c r="AC236" s="95" t="str">
        <f t="shared" si="1"/>
        <v/>
      </c>
    </row>
    <row r="237" ht="15.75" customHeight="1">
      <c r="N237" s="99"/>
      <c r="O237" s="99"/>
      <c r="P237" s="99"/>
      <c r="Q237" s="99"/>
      <c r="R237" s="99"/>
      <c r="S237" s="99"/>
      <c r="T237" s="99"/>
      <c r="U237" s="99"/>
      <c r="V237" s="99"/>
      <c r="W237" s="99"/>
      <c r="X237" s="99"/>
      <c r="Y237" s="99"/>
      <c r="Z237" s="99"/>
      <c r="AA237" s="99"/>
      <c r="AB237" s="99"/>
      <c r="AC237" s="95" t="str">
        <f t="shared" si="1"/>
        <v/>
      </c>
    </row>
    <row r="238" ht="15.75" customHeight="1">
      <c r="N238" s="99"/>
      <c r="O238" s="99"/>
      <c r="P238" s="99"/>
      <c r="Q238" s="99"/>
      <c r="R238" s="99"/>
      <c r="S238" s="99"/>
      <c r="T238" s="99"/>
      <c r="U238" s="99"/>
      <c r="V238" s="99"/>
      <c r="W238" s="99"/>
      <c r="X238" s="99"/>
      <c r="Y238" s="99"/>
      <c r="Z238" s="99"/>
      <c r="AA238" s="99"/>
      <c r="AB238" s="99"/>
      <c r="AC238" s="95" t="str">
        <f t="shared" si="1"/>
        <v/>
      </c>
    </row>
    <row r="239" ht="15.75" customHeight="1">
      <c r="N239" s="99"/>
      <c r="O239" s="99"/>
      <c r="P239" s="99"/>
      <c r="Q239" s="99"/>
      <c r="R239" s="99"/>
      <c r="S239" s="99"/>
      <c r="T239" s="99"/>
      <c r="U239" s="99"/>
      <c r="V239" s="99"/>
      <c r="W239" s="99"/>
      <c r="X239" s="99"/>
      <c r="Y239" s="99"/>
      <c r="Z239" s="99"/>
      <c r="AA239" s="99"/>
      <c r="AB239" s="99"/>
      <c r="AC239" s="95" t="str">
        <f t="shared" si="1"/>
        <v/>
      </c>
    </row>
    <row r="240" ht="15.75" customHeight="1">
      <c r="N240" s="99"/>
      <c r="O240" s="99"/>
      <c r="P240" s="99"/>
      <c r="Q240" s="99"/>
      <c r="R240" s="99"/>
      <c r="S240" s="99"/>
      <c r="T240" s="99"/>
      <c r="U240" s="99"/>
      <c r="V240" s="99"/>
      <c r="W240" s="99"/>
      <c r="X240" s="99"/>
      <c r="Y240" s="99"/>
      <c r="Z240" s="99"/>
      <c r="AA240" s="99"/>
      <c r="AB240" s="99"/>
      <c r="AC240" s="95" t="str">
        <f t="shared" si="1"/>
        <v/>
      </c>
    </row>
    <row r="241" ht="15.75" customHeight="1">
      <c r="N241" s="99"/>
      <c r="O241" s="99"/>
      <c r="P241" s="99"/>
      <c r="Q241" s="99"/>
      <c r="R241" s="99"/>
      <c r="S241" s="99"/>
      <c r="T241" s="99"/>
      <c r="U241" s="99"/>
      <c r="V241" s="99"/>
      <c r="W241" s="99"/>
      <c r="X241" s="99"/>
      <c r="Y241" s="99"/>
      <c r="Z241" s="99"/>
      <c r="AA241" s="99"/>
      <c r="AB241" s="99"/>
      <c r="AC241" s="95" t="str">
        <f t="shared" si="1"/>
        <v/>
      </c>
    </row>
    <row r="242" ht="15.75" customHeight="1">
      <c r="N242" s="99"/>
      <c r="O242" s="99"/>
      <c r="P242" s="99"/>
      <c r="Q242" s="99"/>
      <c r="R242" s="99"/>
      <c r="S242" s="99"/>
      <c r="T242" s="99"/>
      <c r="U242" s="99"/>
      <c r="V242" s="99"/>
      <c r="W242" s="99"/>
      <c r="X242" s="99"/>
      <c r="Y242" s="99"/>
      <c r="Z242" s="99"/>
      <c r="AA242" s="99"/>
      <c r="AB242" s="99"/>
      <c r="AC242" s="95" t="str">
        <f t="shared" si="1"/>
        <v/>
      </c>
    </row>
    <row r="243" ht="15.75" customHeight="1">
      <c r="N243" s="99"/>
      <c r="O243" s="99"/>
      <c r="P243" s="99"/>
      <c r="Q243" s="99"/>
      <c r="R243" s="99"/>
      <c r="S243" s="99"/>
      <c r="T243" s="99"/>
      <c r="U243" s="99"/>
      <c r="V243" s="99"/>
      <c r="W243" s="99"/>
      <c r="X243" s="99"/>
      <c r="Y243" s="99"/>
      <c r="Z243" s="99"/>
      <c r="AA243" s="99"/>
      <c r="AB243" s="99"/>
      <c r="AC243" s="95" t="str">
        <f t="shared" si="1"/>
        <v/>
      </c>
    </row>
    <row r="244" ht="15.75" customHeight="1">
      <c r="N244" s="99"/>
      <c r="O244" s="99"/>
      <c r="P244" s="99"/>
      <c r="Q244" s="99"/>
      <c r="R244" s="99"/>
      <c r="S244" s="99"/>
      <c r="T244" s="99"/>
      <c r="U244" s="99"/>
      <c r="V244" s="99"/>
      <c r="W244" s="99"/>
      <c r="X244" s="99"/>
      <c r="Y244" s="99"/>
      <c r="Z244" s="99"/>
      <c r="AA244" s="99"/>
      <c r="AB244" s="99"/>
      <c r="AC244" s="95" t="str">
        <f t="shared" si="1"/>
        <v/>
      </c>
    </row>
    <row r="245" ht="15.75" customHeight="1">
      <c r="N245" s="99"/>
      <c r="O245" s="99"/>
      <c r="P245" s="99"/>
      <c r="Q245" s="99"/>
      <c r="R245" s="99"/>
      <c r="S245" s="99"/>
      <c r="T245" s="99"/>
      <c r="U245" s="99"/>
      <c r="V245" s="99"/>
      <c r="W245" s="99"/>
      <c r="X245" s="99"/>
      <c r="Y245" s="99"/>
      <c r="Z245" s="99"/>
      <c r="AA245" s="99"/>
      <c r="AB245" s="99"/>
      <c r="AC245" s="95" t="str">
        <f t="shared" si="1"/>
        <v/>
      </c>
    </row>
    <row r="246" ht="15.75" customHeight="1">
      <c r="N246" s="99"/>
      <c r="O246" s="99"/>
      <c r="P246" s="99"/>
      <c r="Q246" s="99"/>
      <c r="R246" s="99"/>
      <c r="S246" s="99"/>
      <c r="T246" s="99"/>
      <c r="U246" s="99"/>
      <c r="V246" s="99"/>
      <c r="W246" s="99"/>
      <c r="X246" s="99"/>
      <c r="Y246" s="99"/>
      <c r="Z246" s="99"/>
      <c r="AA246" s="99"/>
      <c r="AB246" s="99"/>
      <c r="AC246" s="95" t="str">
        <f t="shared" si="1"/>
        <v/>
      </c>
    </row>
    <row r="247" ht="15.75" customHeight="1">
      <c r="N247" s="99"/>
      <c r="O247" s="99"/>
      <c r="P247" s="99"/>
      <c r="Q247" s="99"/>
      <c r="R247" s="99"/>
      <c r="S247" s="99"/>
      <c r="T247" s="99"/>
      <c r="U247" s="99"/>
      <c r="V247" s="99"/>
      <c r="W247" s="99"/>
      <c r="X247" s="99"/>
      <c r="Y247" s="99"/>
      <c r="Z247" s="99"/>
      <c r="AA247" s="99"/>
      <c r="AB247" s="99"/>
      <c r="AC247" s="95" t="str">
        <f t="shared" si="1"/>
        <v/>
      </c>
    </row>
    <row r="248" ht="15.75" customHeight="1">
      <c r="N248" s="99"/>
      <c r="O248" s="99"/>
      <c r="P248" s="99"/>
      <c r="Q248" s="99"/>
      <c r="R248" s="99"/>
      <c r="S248" s="99"/>
      <c r="T248" s="99"/>
      <c r="U248" s="99"/>
      <c r="V248" s="99"/>
      <c r="W248" s="99"/>
      <c r="X248" s="99"/>
      <c r="Y248" s="99"/>
      <c r="Z248" s="99"/>
      <c r="AA248" s="99"/>
      <c r="AB248" s="99"/>
      <c r="AC248" s="95" t="str">
        <f t="shared" si="1"/>
        <v/>
      </c>
    </row>
    <row r="249" ht="15.75" customHeight="1">
      <c r="N249" s="99"/>
      <c r="O249" s="99"/>
      <c r="P249" s="99"/>
      <c r="Q249" s="99"/>
      <c r="R249" s="99"/>
      <c r="S249" s="99"/>
      <c r="T249" s="99"/>
      <c r="U249" s="99"/>
      <c r="V249" s="99"/>
      <c r="W249" s="99"/>
      <c r="X249" s="99"/>
      <c r="Y249" s="99"/>
      <c r="Z249" s="99"/>
      <c r="AA249" s="99"/>
      <c r="AB249" s="99"/>
      <c r="AC249" s="95" t="str">
        <f t="shared" si="1"/>
        <v/>
      </c>
    </row>
    <row r="250" ht="15.75" customHeight="1">
      <c r="N250" s="99"/>
      <c r="O250" s="99"/>
      <c r="P250" s="99"/>
      <c r="Q250" s="99"/>
      <c r="R250" s="99"/>
      <c r="S250" s="99"/>
      <c r="T250" s="99"/>
      <c r="U250" s="99"/>
      <c r="V250" s="99"/>
      <c r="W250" s="99"/>
      <c r="X250" s="99"/>
      <c r="Y250" s="99"/>
      <c r="Z250" s="99"/>
      <c r="AA250" s="99"/>
      <c r="AB250" s="99"/>
      <c r="AC250" s="95" t="str">
        <f t="shared" si="1"/>
        <v/>
      </c>
    </row>
    <row r="251" ht="15.75" customHeight="1">
      <c r="N251" s="99"/>
      <c r="O251" s="99"/>
      <c r="P251" s="99"/>
      <c r="Q251" s="99"/>
      <c r="R251" s="99"/>
      <c r="S251" s="99"/>
      <c r="T251" s="99"/>
      <c r="U251" s="99"/>
      <c r="V251" s="99"/>
      <c r="W251" s="99"/>
      <c r="X251" s="99"/>
      <c r="Y251" s="99"/>
      <c r="Z251" s="99"/>
      <c r="AA251" s="99"/>
      <c r="AB251" s="99"/>
      <c r="AC251" s="95" t="str">
        <f t="shared" si="1"/>
        <v/>
      </c>
    </row>
    <row r="252" ht="15.75" customHeight="1">
      <c r="N252" s="99"/>
      <c r="O252" s="99"/>
      <c r="P252" s="99"/>
      <c r="Q252" s="99"/>
      <c r="R252" s="99"/>
      <c r="S252" s="99"/>
      <c r="T252" s="99"/>
      <c r="U252" s="99"/>
      <c r="V252" s="99"/>
      <c r="W252" s="99"/>
      <c r="X252" s="99"/>
      <c r="Y252" s="99"/>
      <c r="Z252" s="99"/>
      <c r="AA252" s="99"/>
      <c r="AB252" s="99"/>
      <c r="AC252" s="95" t="str">
        <f t="shared" si="1"/>
        <v/>
      </c>
    </row>
    <row r="253" ht="15.75" customHeight="1">
      <c r="N253" s="99"/>
      <c r="O253" s="99"/>
      <c r="P253" s="99"/>
      <c r="Q253" s="99"/>
      <c r="R253" s="99"/>
      <c r="S253" s="99"/>
      <c r="T253" s="99"/>
      <c r="U253" s="99"/>
      <c r="V253" s="99"/>
      <c r="W253" s="99"/>
      <c r="X253" s="99"/>
      <c r="Y253" s="99"/>
      <c r="Z253" s="99"/>
      <c r="AA253" s="99"/>
      <c r="AB253" s="99"/>
      <c r="AC253" s="95" t="str">
        <f t="shared" si="1"/>
        <v/>
      </c>
    </row>
    <row r="254" ht="15.75" customHeight="1">
      <c r="N254" s="99"/>
      <c r="O254" s="99"/>
      <c r="P254" s="99"/>
      <c r="Q254" s="99"/>
      <c r="R254" s="99"/>
      <c r="S254" s="99"/>
      <c r="T254" s="99"/>
      <c r="U254" s="99"/>
      <c r="V254" s="99"/>
      <c r="W254" s="99"/>
      <c r="X254" s="99"/>
      <c r="Y254" s="99"/>
      <c r="Z254" s="99"/>
      <c r="AA254" s="99"/>
      <c r="AB254" s="99"/>
      <c r="AC254" s="95" t="str">
        <f t="shared" si="1"/>
        <v/>
      </c>
    </row>
    <row r="255" ht="15.75" customHeight="1">
      <c r="N255" s="99"/>
      <c r="O255" s="99"/>
      <c r="P255" s="99"/>
      <c r="Q255" s="99"/>
      <c r="R255" s="99"/>
      <c r="S255" s="99"/>
      <c r="T255" s="99"/>
      <c r="U255" s="99"/>
      <c r="V255" s="99"/>
      <c r="W255" s="99"/>
      <c r="X255" s="99"/>
      <c r="Y255" s="99"/>
      <c r="Z255" s="99"/>
      <c r="AA255" s="99"/>
      <c r="AB255" s="99"/>
      <c r="AC255" s="95" t="str">
        <f t="shared" si="1"/>
        <v/>
      </c>
    </row>
    <row r="256" ht="15.75" customHeight="1">
      <c r="N256" s="99"/>
      <c r="O256" s="99"/>
      <c r="P256" s="99"/>
      <c r="Q256" s="99"/>
      <c r="R256" s="99"/>
      <c r="S256" s="99"/>
      <c r="T256" s="99"/>
      <c r="U256" s="99"/>
      <c r="V256" s="99"/>
      <c r="W256" s="99"/>
      <c r="X256" s="99"/>
      <c r="Y256" s="99"/>
      <c r="Z256" s="99"/>
      <c r="AA256" s="99"/>
      <c r="AB256" s="99"/>
      <c r="AC256" s="95" t="str">
        <f t="shared" si="1"/>
        <v/>
      </c>
    </row>
    <row r="257" ht="15.75" customHeight="1">
      <c r="N257" s="99"/>
      <c r="O257" s="99"/>
      <c r="P257" s="99"/>
      <c r="Q257" s="99"/>
      <c r="R257" s="99"/>
      <c r="S257" s="99"/>
      <c r="T257" s="99"/>
      <c r="U257" s="99"/>
      <c r="V257" s="99"/>
      <c r="W257" s="99"/>
      <c r="X257" s="99"/>
      <c r="Y257" s="99"/>
      <c r="Z257" s="99"/>
      <c r="AA257" s="99"/>
      <c r="AB257" s="99"/>
      <c r="AC257" s="95" t="str">
        <f t="shared" si="1"/>
        <v/>
      </c>
    </row>
    <row r="258" ht="15.75" customHeight="1">
      <c r="N258" s="99"/>
      <c r="O258" s="99"/>
      <c r="P258" s="99"/>
      <c r="Q258" s="99"/>
      <c r="R258" s="99"/>
      <c r="S258" s="99"/>
      <c r="T258" s="99"/>
      <c r="U258" s="99"/>
      <c r="V258" s="99"/>
      <c r="W258" s="99"/>
      <c r="X258" s="99"/>
      <c r="Y258" s="99"/>
      <c r="Z258" s="99"/>
      <c r="AA258" s="99"/>
      <c r="AB258" s="99"/>
      <c r="AC258" s="95" t="str">
        <f t="shared" si="1"/>
        <v/>
      </c>
    </row>
    <row r="259" ht="15.75" customHeight="1">
      <c r="N259" s="99"/>
      <c r="O259" s="99"/>
      <c r="P259" s="99"/>
      <c r="Q259" s="99"/>
      <c r="R259" s="99"/>
      <c r="S259" s="99"/>
      <c r="T259" s="99"/>
      <c r="U259" s="99"/>
      <c r="V259" s="99"/>
      <c r="W259" s="99"/>
      <c r="X259" s="99"/>
      <c r="Y259" s="99"/>
      <c r="Z259" s="99"/>
      <c r="AA259" s="99"/>
      <c r="AB259" s="99"/>
      <c r="AC259" s="95" t="str">
        <f t="shared" si="1"/>
        <v/>
      </c>
    </row>
    <row r="260" ht="15.75" customHeight="1">
      <c r="N260" s="99"/>
      <c r="O260" s="99"/>
      <c r="P260" s="99"/>
      <c r="Q260" s="99"/>
      <c r="R260" s="99"/>
      <c r="S260" s="99"/>
      <c r="T260" s="99"/>
      <c r="U260" s="99"/>
      <c r="V260" s="99"/>
      <c r="W260" s="99"/>
      <c r="X260" s="99"/>
      <c r="Y260" s="99"/>
      <c r="Z260" s="99"/>
      <c r="AA260" s="99"/>
      <c r="AB260" s="99"/>
      <c r="AC260" s="95" t="str">
        <f t="shared" si="1"/>
        <v/>
      </c>
    </row>
    <row r="261" ht="15.75" customHeight="1">
      <c r="N261" s="99"/>
      <c r="O261" s="99"/>
      <c r="P261" s="99"/>
      <c r="Q261" s="99"/>
      <c r="R261" s="99"/>
      <c r="S261" s="99"/>
      <c r="T261" s="99"/>
      <c r="U261" s="99"/>
      <c r="V261" s="99"/>
      <c r="W261" s="99"/>
      <c r="X261" s="99"/>
      <c r="Y261" s="99"/>
      <c r="Z261" s="99"/>
      <c r="AA261" s="99"/>
      <c r="AB261" s="99"/>
      <c r="AC261" s="95" t="str">
        <f t="shared" si="1"/>
        <v/>
      </c>
    </row>
    <row r="262" ht="15.75" customHeight="1">
      <c r="N262" s="99"/>
      <c r="O262" s="99"/>
      <c r="P262" s="99"/>
      <c r="Q262" s="99"/>
      <c r="R262" s="99"/>
      <c r="S262" s="99"/>
      <c r="T262" s="99"/>
      <c r="U262" s="99"/>
      <c r="V262" s="99"/>
      <c r="W262" s="99"/>
      <c r="X262" s="99"/>
      <c r="Y262" s="99"/>
      <c r="Z262" s="99"/>
      <c r="AA262" s="99"/>
      <c r="AB262" s="99"/>
      <c r="AC262" s="95" t="str">
        <f t="shared" si="1"/>
        <v/>
      </c>
    </row>
    <row r="263" ht="15.75" customHeight="1">
      <c r="N263" s="99"/>
      <c r="O263" s="99"/>
      <c r="P263" s="99"/>
      <c r="Q263" s="99"/>
      <c r="R263" s="99"/>
      <c r="S263" s="99"/>
      <c r="T263" s="99"/>
      <c r="U263" s="99"/>
      <c r="V263" s="99"/>
      <c r="W263" s="99"/>
      <c r="X263" s="99"/>
      <c r="Y263" s="99"/>
      <c r="Z263" s="99"/>
      <c r="AA263" s="99"/>
      <c r="AB263" s="99"/>
      <c r="AC263" s="95" t="str">
        <f t="shared" si="1"/>
        <v/>
      </c>
    </row>
    <row r="264" ht="15.75" customHeight="1">
      <c r="N264" s="99"/>
      <c r="O264" s="99"/>
      <c r="P264" s="99"/>
      <c r="Q264" s="99"/>
      <c r="R264" s="99"/>
      <c r="S264" s="99"/>
      <c r="T264" s="99"/>
      <c r="U264" s="99"/>
      <c r="V264" s="99"/>
      <c r="W264" s="99"/>
      <c r="X264" s="99"/>
      <c r="Y264" s="99"/>
      <c r="Z264" s="99"/>
      <c r="AA264" s="99"/>
      <c r="AB264" s="99"/>
      <c r="AC264" s="95" t="str">
        <f t="shared" si="1"/>
        <v/>
      </c>
    </row>
    <row r="265" ht="15.75" customHeight="1">
      <c r="N265" s="99"/>
      <c r="O265" s="99"/>
      <c r="P265" s="99"/>
      <c r="Q265" s="99"/>
      <c r="R265" s="99"/>
      <c r="S265" s="99"/>
      <c r="T265" s="99"/>
      <c r="U265" s="99"/>
      <c r="V265" s="99"/>
      <c r="W265" s="99"/>
      <c r="X265" s="99"/>
      <c r="Y265" s="99"/>
      <c r="Z265" s="99"/>
      <c r="AA265" s="99"/>
      <c r="AB265" s="99"/>
      <c r="AC265" s="95" t="str">
        <f t="shared" si="1"/>
        <v/>
      </c>
    </row>
    <row r="266" ht="15.75" customHeight="1">
      <c r="N266" s="99"/>
      <c r="O266" s="99"/>
      <c r="P266" s="99"/>
      <c r="Q266" s="99"/>
      <c r="R266" s="99"/>
      <c r="S266" s="99"/>
      <c r="T266" s="99"/>
      <c r="U266" s="99"/>
      <c r="V266" s="99"/>
      <c r="W266" s="99"/>
      <c r="X266" s="99"/>
      <c r="Y266" s="99"/>
      <c r="Z266" s="99"/>
      <c r="AA266" s="99"/>
      <c r="AB266" s="99"/>
      <c r="AC266" s="95" t="str">
        <f t="shared" si="1"/>
        <v/>
      </c>
    </row>
    <row r="267" ht="15.75" customHeight="1">
      <c r="N267" s="99"/>
      <c r="O267" s="99"/>
      <c r="P267" s="99"/>
      <c r="Q267" s="99"/>
      <c r="R267" s="99"/>
      <c r="S267" s="99"/>
      <c r="T267" s="99"/>
      <c r="U267" s="99"/>
      <c r="V267" s="99"/>
      <c r="W267" s="99"/>
      <c r="X267" s="99"/>
      <c r="Y267" s="99"/>
      <c r="Z267" s="99"/>
      <c r="AA267" s="99"/>
      <c r="AB267" s="99"/>
      <c r="AC267" s="95" t="str">
        <f t="shared" si="1"/>
        <v/>
      </c>
    </row>
    <row r="268" ht="15.75" customHeight="1">
      <c r="N268" s="99"/>
      <c r="O268" s="99"/>
      <c r="P268" s="99"/>
      <c r="Q268" s="99"/>
      <c r="R268" s="99"/>
      <c r="S268" s="99"/>
      <c r="T268" s="99"/>
      <c r="U268" s="99"/>
      <c r="V268" s="99"/>
      <c r="W268" s="99"/>
      <c r="X268" s="99"/>
      <c r="Y268" s="99"/>
      <c r="Z268" s="99"/>
      <c r="AA268" s="99"/>
      <c r="AB268" s="99"/>
      <c r="AC268" s="95" t="str">
        <f t="shared" si="1"/>
        <v/>
      </c>
    </row>
    <row r="269" ht="15.75" customHeight="1">
      <c r="N269" s="99"/>
      <c r="O269" s="99"/>
      <c r="P269" s="99"/>
      <c r="Q269" s="99"/>
      <c r="R269" s="99"/>
      <c r="S269" s="99"/>
      <c r="T269" s="99"/>
      <c r="U269" s="99"/>
      <c r="V269" s="99"/>
      <c r="W269" s="99"/>
      <c r="X269" s="99"/>
      <c r="Y269" s="99"/>
      <c r="Z269" s="99"/>
      <c r="AA269" s="99"/>
      <c r="AB269" s="99"/>
      <c r="AC269" s="95" t="str">
        <f t="shared" si="1"/>
        <v/>
      </c>
    </row>
    <row r="270" ht="15.75" customHeight="1">
      <c r="N270" s="99"/>
      <c r="O270" s="99"/>
      <c r="P270" s="99"/>
      <c r="Q270" s="99"/>
      <c r="R270" s="99"/>
      <c r="S270" s="99"/>
      <c r="T270" s="99"/>
      <c r="U270" s="99"/>
      <c r="V270" s="99"/>
      <c r="W270" s="99"/>
      <c r="X270" s="99"/>
      <c r="Y270" s="99"/>
      <c r="Z270" s="99"/>
      <c r="AA270" s="99"/>
      <c r="AB270" s="99"/>
      <c r="AC270" s="95" t="str">
        <f t="shared" si="1"/>
        <v/>
      </c>
    </row>
    <row r="271" ht="15.75" customHeight="1">
      <c r="N271" s="99"/>
      <c r="O271" s="99"/>
      <c r="P271" s="99"/>
      <c r="Q271" s="99"/>
      <c r="R271" s="99"/>
      <c r="S271" s="99"/>
      <c r="T271" s="99"/>
      <c r="U271" s="99"/>
      <c r="V271" s="99"/>
      <c r="W271" s="99"/>
      <c r="X271" s="99"/>
      <c r="Y271" s="99"/>
      <c r="Z271" s="99"/>
      <c r="AA271" s="99"/>
      <c r="AB271" s="99"/>
      <c r="AC271" s="95" t="str">
        <f t="shared" si="1"/>
        <v/>
      </c>
    </row>
    <row r="272" ht="15.75" customHeight="1">
      <c r="N272" s="99"/>
      <c r="O272" s="99"/>
      <c r="P272" s="99"/>
      <c r="Q272" s="99"/>
      <c r="R272" s="99"/>
      <c r="S272" s="99"/>
      <c r="T272" s="99"/>
      <c r="U272" s="99"/>
      <c r="V272" s="99"/>
      <c r="W272" s="99"/>
      <c r="X272" s="99"/>
      <c r="Y272" s="99"/>
      <c r="Z272" s="99"/>
      <c r="AA272" s="99"/>
      <c r="AB272" s="99"/>
      <c r="AC272" s="95" t="str">
        <f t="shared" si="1"/>
        <v/>
      </c>
    </row>
    <row r="273" ht="15.75" customHeight="1">
      <c r="N273" s="99"/>
      <c r="O273" s="99"/>
      <c r="P273" s="99"/>
      <c r="Q273" s="99"/>
      <c r="R273" s="99"/>
      <c r="S273" s="99"/>
      <c r="T273" s="99"/>
      <c r="U273" s="99"/>
      <c r="V273" s="99"/>
      <c r="W273" s="99"/>
      <c r="X273" s="99"/>
      <c r="Y273" s="99"/>
      <c r="Z273" s="99"/>
      <c r="AA273" s="99"/>
      <c r="AB273" s="99"/>
      <c r="AC273" s="95" t="str">
        <f t="shared" si="1"/>
        <v/>
      </c>
    </row>
    <row r="274" ht="15.75" customHeight="1">
      <c r="N274" s="99"/>
      <c r="O274" s="99"/>
      <c r="P274" s="99"/>
      <c r="Q274" s="99"/>
      <c r="R274" s="99"/>
      <c r="S274" s="99"/>
      <c r="T274" s="99"/>
      <c r="U274" s="99"/>
      <c r="V274" s="99"/>
      <c r="W274" s="99"/>
      <c r="X274" s="99"/>
      <c r="Y274" s="99"/>
      <c r="Z274" s="99"/>
      <c r="AA274" s="99"/>
      <c r="AB274" s="99"/>
      <c r="AC274" s="95" t="str">
        <f t="shared" si="1"/>
        <v/>
      </c>
    </row>
    <row r="275" ht="15.75" customHeight="1">
      <c r="N275" s="99"/>
      <c r="O275" s="99"/>
      <c r="P275" s="99"/>
      <c r="Q275" s="99"/>
      <c r="R275" s="99"/>
      <c r="S275" s="99"/>
      <c r="T275" s="99"/>
      <c r="U275" s="99"/>
      <c r="V275" s="99"/>
      <c r="W275" s="99"/>
      <c r="X275" s="99"/>
      <c r="Y275" s="99"/>
      <c r="Z275" s="99"/>
      <c r="AA275" s="99"/>
      <c r="AB275" s="99"/>
      <c r="AC275" s="95" t="str">
        <f t="shared" si="1"/>
        <v/>
      </c>
    </row>
    <row r="276" ht="15.75" customHeight="1">
      <c r="N276" s="99"/>
      <c r="O276" s="99"/>
      <c r="P276" s="99"/>
      <c r="Q276" s="99"/>
      <c r="R276" s="99"/>
      <c r="S276" s="99"/>
      <c r="T276" s="99"/>
      <c r="U276" s="99"/>
      <c r="V276" s="99"/>
      <c r="W276" s="99"/>
      <c r="X276" s="99"/>
      <c r="Y276" s="99"/>
      <c r="Z276" s="99"/>
      <c r="AA276" s="99"/>
      <c r="AB276" s="99"/>
      <c r="AC276" s="95" t="str">
        <f t="shared" si="1"/>
        <v/>
      </c>
    </row>
    <row r="277" ht="15.75" customHeight="1">
      <c r="N277" s="99"/>
      <c r="O277" s="99"/>
      <c r="P277" s="99"/>
      <c r="Q277" s="99"/>
      <c r="R277" s="99"/>
      <c r="S277" s="99"/>
      <c r="T277" s="99"/>
      <c r="U277" s="99"/>
      <c r="V277" s="99"/>
      <c r="W277" s="99"/>
      <c r="X277" s="99"/>
      <c r="Y277" s="99"/>
      <c r="Z277" s="99"/>
      <c r="AA277" s="99"/>
      <c r="AB277" s="99"/>
      <c r="AC277" s="95" t="str">
        <f t="shared" si="1"/>
        <v/>
      </c>
    </row>
    <row r="278" ht="15.75" customHeight="1">
      <c r="N278" s="99"/>
      <c r="O278" s="99"/>
      <c r="P278" s="99"/>
      <c r="Q278" s="99"/>
      <c r="R278" s="99"/>
      <c r="S278" s="99"/>
      <c r="T278" s="99"/>
      <c r="U278" s="99"/>
      <c r="V278" s="99"/>
      <c r="W278" s="99"/>
      <c r="X278" s="99"/>
      <c r="Y278" s="99"/>
      <c r="Z278" s="99"/>
      <c r="AA278" s="99"/>
      <c r="AB278" s="99"/>
      <c r="AC278" s="95" t="str">
        <f t="shared" si="1"/>
        <v/>
      </c>
    </row>
    <row r="279" ht="15.75" customHeight="1">
      <c r="N279" s="99"/>
      <c r="O279" s="99"/>
      <c r="P279" s="99"/>
      <c r="Q279" s="99"/>
      <c r="R279" s="99"/>
      <c r="S279" s="99"/>
      <c r="T279" s="99"/>
      <c r="U279" s="99"/>
      <c r="V279" s="99"/>
      <c r="W279" s="99"/>
      <c r="X279" s="99"/>
      <c r="Y279" s="99"/>
      <c r="Z279" s="99"/>
      <c r="AA279" s="99"/>
      <c r="AB279" s="99"/>
      <c r="AC279" s="95" t="str">
        <f t="shared" si="1"/>
        <v/>
      </c>
    </row>
    <row r="280" ht="15.75" customHeight="1">
      <c r="N280" s="99"/>
      <c r="O280" s="99"/>
      <c r="P280" s="99"/>
      <c r="Q280" s="99"/>
      <c r="R280" s="99"/>
      <c r="S280" s="99"/>
      <c r="T280" s="99"/>
      <c r="U280" s="99"/>
      <c r="V280" s="99"/>
      <c r="W280" s="99"/>
      <c r="X280" s="99"/>
      <c r="Y280" s="99"/>
      <c r="Z280" s="99"/>
      <c r="AA280" s="99"/>
      <c r="AB280" s="99"/>
      <c r="AC280" s="95" t="str">
        <f t="shared" si="1"/>
        <v/>
      </c>
    </row>
    <row r="281" ht="15.75" customHeight="1">
      <c r="N281" s="99"/>
      <c r="O281" s="99"/>
      <c r="P281" s="99"/>
      <c r="Q281" s="99"/>
      <c r="R281" s="99"/>
      <c r="S281" s="99"/>
      <c r="T281" s="99"/>
      <c r="U281" s="99"/>
      <c r="V281" s="99"/>
      <c r="W281" s="99"/>
      <c r="X281" s="99"/>
      <c r="Y281" s="99"/>
      <c r="Z281" s="99"/>
      <c r="AA281" s="99"/>
      <c r="AB281" s="99"/>
      <c r="AC281" s="95" t="str">
        <f t="shared" si="1"/>
        <v/>
      </c>
    </row>
    <row r="282" ht="15.75" customHeight="1">
      <c r="N282" s="99"/>
      <c r="O282" s="99"/>
      <c r="P282" s="99"/>
      <c r="Q282" s="99"/>
      <c r="R282" s="99"/>
      <c r="S282" s="99"/>
      <c r="T282" s="99"/>
      <c r="U282" s="99"/>
      <c r="V282" s="99"/>
      <c r="W282" s="99"/>
      <c r="X282" s="99"/>
      <c r="Y282" s="99"/>
      <c r="Z282" s="99"/>
      <c r="AA282" s="99"/>
      <c r="AB282" s="99"/>
      <c r="AC282" s="95" t="str">
        <f t="shared" si="1"/>
        <v/>
      </c>
    </row>
    <row r="283" ht="15.75" customHeight="1">
      <c r="N283" s="99"/>
      <c r="O283" s="99"/>
      <c r="P283" s="99"/>
      <c r="Q283" s="99"/>
      <c r="R283" s="99"/>
      <c r="S283" s="99"/>
      <c r="T283" s="99"/>
      <c r="U283" s="99"/>
      <c r="V283" s="99"/>
      <c r="W283" s="99"/>
      <c r="X283" s="99"/>
      <c r="Y283" s="99"/>
      <c r="Z283" s="99"/>
      <c r="AA283" s="99"/>
      <c r="AB283" s="99"/>
      <c r="AC283" s="95" t="str">
        <f t="shared" si="1"/>
        <v/>
      </c>
    </row>
    <row r="284" ht="15.75" customHeight="1">
      <c r="N284" s="99"/>
      <c r="O284" s="99"/>
      <c r="P284" s="99"/>
      <c r="Q284" s="99"/>
      <c r="R284" s="99"/>
      <c r="S284" s="99"/>
      <c r="T284" s="99"/>
      <c r="U284" s="99"/>
      <c r="V284" s="99"/>
      <c r="W284" s="99"/>
      <c r="X284" s="99"/>
      <c r="Y284" s="99"/>
      <c r="Z284" s="99"/>
      <c r="AA284" s="99"/>
      <c r="AB284" s="99"/>
      <c r="AC284" s="95" t="str">
        <f t="shared" si="1"/>
        <v/>
      </c>
    </row>
    <row r="285" ht="15.75" customHeight="1">
      <c r="N285" s="99"/>
      <c r="O285" s="99"/>
      <c r="P285" s="99"/>
      <c r="Q285" s="99"/>
      <c r="R285" s="99"/>
      <c r="S285" s="99"/>
      <c r="T285" s="99"/>
      <c r="U285" s="99"/>
      <c r="V285" s="99"/>
      <c r="W285" s="99"/>
      <c r="X285" s="99"/>
      <c r="Y285" s="99"/>
      <c r="Z285" s="99"/>
      <c r="AA285" s="99"/>
      <c r="AB285" s="99"/>
      <c r="AC285" s="95" t="str">
        <f t="shared" si="1"/>
        <v/>
      </c>
    </row>
    <row r="286" ht="15.75" customHeight="1">
      <c r="N286" s="99"/>
      <c r="O286" s="99"/>
      <c r="P286" s="99"/>
      <c r="Q286" s="99"/>
      <c r="R286" s="99"/>
      <c r="S286" s="99"/>
      <c r="T286" s="99"/>
      <c r="U286" s="99"/>
      <c r="V286" s="99"/>
      <c r="W286" s="99"/>
      <c r="X286" s="99"/>
      <c r="Y286" s="99"/>
      <c r="Z286" s="99"/>
      <c r="AA286" s="99"/>
      <c r="AB286" s="99"/>
      <c r="AC286" s="95" t="str">
        <f t="shared" si="1"/>
        <v/>
      </c>
    </row>
    <row r="287" ht="15.75" customHeight="1">
      <c r="N287" s="99"/>
      <c r="O287" s="99"/>
      <c r="P287" s="99"/>
      <c r="Q287" s="99"/>
      <c r="R287" s="99"/>
      <c r="S287" s="99"/>
      <c r="T287" s="99"/>
      <c r="U287" s="99"/>
      <c r="V287" s="99"/>
      <c r="W287" s="99"/>
      <c r="X287" s="99"/>
      <c r="Y287" s="99"/>
      <c r="Z287" s="99"/>
      <c r="AA287" s="99"/>
      <c r="AB287" s="99"/>
      <c r="AC287" s="95" t="str">
        <f t="shared" si="1"/>
        <v/>
      </c>
    </row>
    <row r="288" ht="15.75" customHeight="1">
      <c r="N288" s="99"/>
      <c r="O288" s="99"/>
      <c r="P288" s="99"/>
      <c r="Q288" s="99"/>
      <c r="R288" s="99"/>
      <c r="S288" s="99"/>
      <c r="T288" s="99"/>
      <c r="U288" s="99"/>
      <c r="V288" s="99"/>
      <c r="W288" s="99"/>
      <c r="X288" s="99"/>
      <c r="Y288" s="99"/>
      <c r="Z288" s="99"/>
      <c r="AA288" s="99"/>
      <c r="AB288" s="99"/>
      <c r="AC288" s="95" t="str">
        <f t="shared" si="1"/>
        <v/>
      </c>
    </row>
    <row r="289" ht="15.75" customHeight="1">
      <c r="N289" s="99"/>
      <c r="O289" s="99"/>
      <c r="P289" s="99"/>
      <c r="Q289" s="99"/>
      <c r="R289" s="99"/>
      <c r="S289" s="99"/>
      <c r="T289" s="99"/>
      <c r="U289" s="99"/>
      <c r="V289" s="99"/>
      <c r="W289" s="99"/>
      <c r="X289" s="99"/>
      <c r="Y289" s="99"/>
      <c r="Z289" s="99"/>
      <c r="AA289" s="99"/>
      <c r="AB289" s="99"/>
      <c r="AC289" s="95" t="str">
        <f t="shared" si="1"/>
        <v/>
      </c>
    </row>
    <row r="290" ht="15.75" customHeight="1">
      <c r="N290" s="99"/>
      <c r="O290" s="99"/>
      <c r="P290" s="99"/>
      <c r="Q290" s="99"/>
      <c r="R290" s="99"/>
      <c r="S290" s="99"/>
      <c r="T290" s="99"/>
      <c r="U290" s="99"/>
      <c r="V290" s="99"/>
      <c r="W290" s="99"/>
      <c r="X290" s="99"/>
      <c r="Y290" s="99"/>
      <c r="Z290" s="99"/>
      <c r="AA290" s="99"/>
      <c r="AB290" s="99"/>
      <c r="AC290" s="95" t="str">
        <f t="shared" si="1"/>
        <v/>
      </c>
    </row>
    <row r="291" ht="15.75" customHeight="1">
      <c r="N291" s="99"/>
      <c r="O291" s="99"/>
      <c r="P291" s="99"/>
      <c r="Q291" s="99"/>
      <c r="R291" s="99"/>
      <c r="S291" s="99"/>
      <c r="T291" s="99"/>
      <c r="U291" s="99"/>
      <c r="V291" s="99"/>
      <c r="W291" s="99"/>
      <c r="X291" s="99"/>
      <c r="Y291" s="99"/>
      <c r="Z291" s="99"/>
      <c r="AA291" s="99"/>
      <c r="AB291" s="99"/>
      <c r="AC291" s="95" t="str">
        <f t="shared" si="1"/>
        <v/>
      </c>
    </row>
    <row r="292" ht="15.75" customHeight="1">
      <c r="N292" s="99"/>
      <c r="O292" s="99"/>
      <c r="P292" s="99"/>
      <c r="Q292" s="99"/>
      <c r="R292" s="99"/>
      <c r="S292" s="99"/>
      <c r="T292" s="99"/>
      <c r="U292" s="99"/>
      <c r="V292" s="99"/>
      <c r="W292" s="99"/>
      <c r="X292" s="99"/>
      <c r="Y292" s="99"/>
      <c r="Z292" s="99"/>
      <c r="AA292" s="99"/>
      <c r="AB292" s="99"/>
      <c r="AC292" s="95" t="str">
        <f t="shared" si="1"/>
        <v/>
      </c>
    </row>
    <row r="293" ht="15.75" customHeight="1">
      <c r="N293" s="99"/>
      <c r="O293" s="99"/>
      <c r="P293" s="99"/>
      <c r="Q293" s="99"/>
      <c r="R293" s="99"/>
      <c r="S293" s="99"/>
      <c r="T293" s="99"/>
      <c r="U293" s="99"/>
      <c r="V293" s="99"/>
      <c r="W293" s="99"/>
      <c r="X293" s="99"/>
      <c r="Y293" s="99"/>
      <c r="Z293" s="99"/>
      <c r="AA293" s="99"/>
      <c r="AB293" s="99"/>
      <c r="AC293" s="95" t="str">
        <f t="shared" si="1"/>
        <v/>
      </c>
    </row>
    <row r="294" ht="15.75" customHeight="1">
      <c r="N294" s="99"/>
      <c r="O294" s="99"/>
      <c r="P294" s="99"/>
      <c r="Q294" s="99"/>
      <c r="R294" s="99"/>
      <c r="S294" s="99"/>
      <c r="T294" s="99"/>
      <c r="U294" s="99"/>
      <c r="V294" s="99"/>
      <c r="W294" s="99"/>
      <c r="X294" s="99"/>
      <c r="Y294" s="99"/>
      <c r="Z294" s="99"/>
      <c r="AA294" s="99"/>
      <c r="AB294" s="99"/>
      <c r="AC294" s="95" t="str">
        <f t="shared" si="1"/>
        <v/>
      </c>
    </row>
    <row r="295" ht="15.75" customHeight="1">
      <c r="N295" s="99"/>
      <c r="O295" s="99"/>
      <c r="P295" s="99"/>
      <c r="Q295" s="99"/>
      <c r="R295" s="99"/>
      <c r="S295" s="99"/>
      <c r="T295" s="99"/>
      <c r="U295" s="99"/>
      <c r="V295" s="99"/>
      <c r="W295" s="99"/>
      <c r="X295" s="99"/>
      <c r="Y295" s="99"/>
      <c r="Z295" s="99"/>
      <c r="AA295" s="99"/>
      <c r="AB295" s="99"/>
      <c r="AC295" s="95" t="str">
        <f t="shared" si="1"/>
        <v/>
      </c>
    </row>
    <row r="296" ht="15.75" customHeight="1">
      <c r="N296" s="99"/>
      <c r="O296" s="99"/>
      <c r="P296" s="99"/>
      <c r="Q296" s="99"/>
      <c r="R296" s="99"/>
      <c r="S296" s="99"/>
      <c r="T296" s="99"/>
      <c r="U296" s="99"/>
      <c r="V296" s="99"/>
      <c r="W296" s="99"/>
      <c r="X296" s="99"/>
      <c r="Y296" s="99"/>
      <c r="Z296" s="99"/>
      <c r="AA296" s="99"/>
      <c r="AB296" s="99"/>
      <c r="AC296" s="95" t="str">
        <f t="shared" si="1"/>
        <v/>
      </c>
    </row>
    <row r="297" ht="15.75" customHeight="1">
      <c r="N297" s="99"/>
      <c r="O297" s="99"/>
      <c r="P297" s="99"/>
      <c r="Q297" s="99"/>
      <c r="R297" s="99"/>
      <c r="S297" s="99"/>
      <c r="T297" s="99"/>
      <c r="U297" s="99"/>
      <c r="V297" s="99"/>
      <c r="W297" s="99"/>
      <c r="X297" s="99"/>
      <c r="Y297" s="99"/>
      <c r="Z297" s="99"/>
      <c r="AA297" s="99"/>
      <c r="AB297" s="99"/>
      <c r="AC297" s="95" t="str">
        <f t="shared" si="1"/>
        <v/>
      </c>
    </row>
    <row r="298" ht="15.75" customHeight="1">
      <c r="N298" s="99"/>
      <c r="O298" s="99"/>
      <c r="P298" s="99"/>
      <c r="Q298" s="99"/>
      <c r="R298" s="99"/>
      <c r="S298" s="99"/>
      <c r="T298" s="99"/>
      <c r="U298" s="99"/>
      <c r="V298" s="99"/>
      <c r="W298" s="99"/>
      <c r="X298" s="99"/>
      <c r="Y298" s="99"/>
      <c r="Z298" s="99"/>
      <c r="AA298" s="99"/>
      <c r="AB298" s="99"/>
      <c r="AC298" s="95" t="str">
        <f t="shared" si="1"/>
        <v/>
      </c>
    </row>
    <row r="299" ht="15.75" customHeight="1">
      <c r="N299" s="99"/>
      <c r="O299" s="99"/>
      <c r="P299" s="99"/>
      <c r="Q299" s="99"/>
      <c r="R299" s="99"/>
      <c r="S299" s="99"/>
      <c r="T299" s="99"/>
      <c r="U299" s="99"/>
      <c r="V299" s="99"/>
      <c r="W299" s="99"/>
      <c r="X299" s="99"/>
      <c r="Y299" s="99"/>
      <c r="Z299" s="99"/>
      <c r="AA299" s="99"/>
      <c r="AB299" s="99"/>
      <c r="AC299" s="95" t="str">
        <f t="shared" si="1"/>
        <v/>
      </c>
    </row>
    <row r="300" ht="15.75" customHeight="1">
      <c r="N300" s="99"/>
      <c r="O300" s="99"/>
      <c r="P300" s="99"/>
      <c r="Q300" s="99"/>
      <c r="R300" s="99"/>
      <c r="S300" s="99"/>
      <c r="T300" s="99"/>
      <c r="U300" s="99"/>
      <c r="V300" s="99"/>
      <c r="W300" s="99"/>
      <c r="X300" s="99"/>
      <c r="Y300" s="99"/>
      <c r="Z300" s="99"/>
      <c r="AA300" s="99"/>
      <c r="AB300" s="99"/>
      <c r="AC300" s="95" t="str">
        <f t="shared" si="1"/>
        <v/>
      </c>
    </row>
    <row r="301" ht="15.75" customHeight="1">
      <c r="N301" s="99"/>
      <c r="O301" s="99"/>
      <c r="P301" s="99"/>
      <c r="Q301" s="99"/>
      <c r="R301" s="99"/>
      <c r="S301" s="99"/>
      <c r="T301" s="99"/>
      <c r="U301" s="99"/>
      <c r="V301" s="99"/>
      <c r="W301" s="99"/>
      <c r="X301" s="99"/>
      <c r="Y301" s="99"/>
      <c r="Z301" s="99"/>
      <c r="AA301" s="99"/>
      <c r="AB301" s="99"/>
      <c r="AC301" s="95" t="str">
        <f t="shared" si="1"/>
        <v/>
      </c>
    </row>
    <row r="302" ht="15.75" customHeight="1">
      <c r="N302" s="99"/>
      <c r="O302" s="99"/>
      <c r="P302" s="99"/>
      <c r="Q302" s="99"/>
      <c r="R302" s="99"/>
      <c r="S302" s="99"/>
      <c r="T302" s="99"/>
      <c r="U302" s="99"/>
      <c r="V302" s="99"/>
      <c r="W302" s="99"/>
      <c r="X302" s="99"/>
      <c r="Y302" s="99"/>
      <c r="Z302" s="99"/>
      <c r="AA302" s="99"/>
      <c r="AB302" s="99"/>
      <c r="AC302" s="95" t="str">
        <f t="shared" si="1"/>
        <v/>
      </c>
    </row>
    <row r="303" ht="15.75" customHeight="1">
      <c r="N303" s="99"/>
      <c r="O303" s="99"/>
      <c r="P303" s="99"/>
      <c r="Q303" s="99"/>
      <c r="R303" s="99"/>
      <c r="S303" s="99"/>
      <c r="T303" s="99"/>
      <c r="U303" s="99"/>
      <c r="V303" s="99"/>
      <c r="W303" s="99"/>
      <c r="X303" s="99"/>
      <c r="Y303" s="99"/>
      <c r="Z303" s="99"/>
      <c r="AA303" s="99"/>
      <c r="AB303" s="99"/>
      <c r="AC303" s="95" t="str">
        <f t="shared" si="1"/>
        <v/>
      </c>
    </row>
    <row r="304" ht="15.75" customHeight="1">
      <c r="N304" s="99"/>
      <c r="O304" s="99"/>
      <c r="P304" s="99"/>
      <c r="Q304" s="99"/>
      <c r="R304" s="99"/>
      <c r="S304" s="99"/>
      <c r="T304" s="99"/>
      <c r="U304" s="99"/>
      <c r="V304" s="99"/>
      <c r="W304" s="99"/>
      <c r="X304" s="99"/>
      <c r="Y304" s="99"/>
      <c r="Z304" s="99"/>
      <c r="AA304" s="99"/>
      <c r="AB304" s="99"/>
      <c r="AC304" s="95" t="str">
        <f t="shared" si="1"/>
        <v/>
      </c>
    </row>
    <row r="305" ht="15.75" customHeight="1">
      <c r="N305" s="99"/>
      <c r="O305" s="99"/>
      <c r="P305" s="99"/>
      <c r="Q305" s="99"/>
      <c r="R305" s="99"/>
      <c r="S305" s="99"/>
      <c r="T305" s="99"/>
      <c r="U305" s="99"/>
      <c r="V305" s="99"/>
      <c r="W305" s="99"/>
      <c r="X305" s="99"/>
      <c r="Y305" s="99"/>
      <c r="Z305" s="99"/>
      <c r="AA305" s="99"/>
      <c r="AB305" s="99"/>
      <c r="AC305" s="95" t="str">
        <f t="shared" si="1"/>
        <v/>
      </c>
    </row>
    <row r="306" ht="15.75" customHeight="1">
      <c r="N306" s="99"/>
      <c r="O306" s="99"/>
      <c r="P306" s="99"/>
      <c r="Q306" s="99"/>
      <c r="R306" s="99"/>
      <c r="S306" s="99"/>
      <c r="T306" s="99"/>
      <c r="U306" s="99"/>
      <c r="V306" s="99"/>
      <c r="W306" s="99"/>
      <c r="X306" s="99"/>
      <c r="Y306" s="99"/>
      <c r="Z306" s="99"/>
      <c r="AA306" s="99"/>
      <c r="AB306" s="99"/>
      <c r="AC306" s="95" t="str">
        <f t="shared" si="1"/>
        <v/>
      </c>
    </row>
    <row r="307" ht="15.75" customHeight="1">
      <c r="N307" s="99"/>
      <c r="O307" s="99"/>
      <c r="P307" s="99"/>
      <c r="Q307" s="99"/>
      <c r="R307" s="99"/>
      <c r="S307" s="99"/>
      <c r="T307" s="99"/>
      <c r="U307" s="99"/>
      <c r="V307" s="99"/>
      <c r="W307" s="99"/>
      <c r="X307" s="99"/>
      <c r="Y307" s="99"/>
      <c r="Z307" s="99"/>
      <c r="AA307" s="99"/>
      <c r="AB307" s="99"/>
      <c r="AC307" s="95" t="str">
        <f t="shared" si="1"/>
        <v/>
      </c>
    </row>
    <row r="308" ht="15.75" customHeight="1">
      <c r="N308" s="99"/>
      <c r="O308" s="99"/>
      <c r="P308" s="99"/>
      <c r="Q308" s="99"/>
      <c r="R308" s="99"/>
      <c r="S308" s="99"/>
      <c r="T308" s="99"/>
      <c r="U308" s="99"/>
      <c r="V308" s="99"/>
      <c r="W308" s="99"/>
      <c r="X308" s="99"/>
      <c r="Y308" s="99"/>
      <c r="Z308" s="99"/>
      <c r="AA308" s="99"/>
      <c r="AB308" s="99"/>
      <c r="AC308" s="95" t="str">
        <f t="shared" si="1"/>
        <v/>
      </c>
    </row>
    <row r="309" ht="15.75" customHeight="1">
      <c r="N309" s="99"/>
      <c r="O309" s="99"/>
      <c r="P309" s="99"/>
      <c r="Q309" s="99"/>
      <c r="R309" s="99"/>
      <c r="S309" s="99"/>
      <c r="T309" s="99"/>
      <c r="U309" s="99"/>
      <c r="V309" s="99"/>
      <c r="W309" s="99"/>
      <c r="X309" s="99"/>
      <c r="Y309" s="99"/>
      <c r="Z309" s="99"/>
      <c r="AA309" s="99"/>
      <c r="AB309" s="99"/>
      <c r="AC309" s="95" t="str">
        <f t="shared" si="1"/>
        <v/>
      </c>
    </row>
    <row r="310" ht="15.75" customHeight="1">
      <c r="N310" s="99"/>
      <c r="O310" s="99"/>
      <c r="P310" s="99"/>
      <c r="Q310" s="99"/>
      <c r="R310" s="99"/>
      <c r="S310" s="99"/>
      <c r="T310" s="99"/>
      <c r="U310" s="99"/>
      <c r="V310" s="99"/>
      <c r="W310" s="99"/>
      <c r="X310" s="99"/>
      <c r="Y310" s="99"/>
      <c r="Z310" s="99"/>
      <c r="AA310" s="99"/>
      <c r="AB310" s="99"/>
      <c r="AC310" s="95" t="str">
        <f t="shared" si="1"/>
        <v/>
      </c>
    </row>
    <row r="311" ht="15.75" customHeight="1">
      <c r="N311" s="99"/>
      <c r="O311" s="99"/>
      <c r="P311" s="99"/>
      <c r="Q311" s="99"/>
      <c r="R311" s="99"/>
      <c r="S311" s="99"/>
      <c r="T311" s="99"/>
      <c r="U311" s="99"/>
      <c r="V311" s="99"/>
      <c r="W311" s="99"/>
      <c r="X311" s="99"/>
      <c r="Y311" s="99"/>
      <c r="Z311" s="99"/>
      <c r="AA311" s="99"/>
      <c r="AB311" s="99"/>
      <c r="AC311" s="95" t="str">
        <f t="shared" si="1"/>
        <v/>
      </c>
    </row>
    <row r="312" ht="15.75" customHeight="1">
      <c r="N312" s="99"/>
      <c r="O312" s="99"/>
      <c r="P312" s="99"/>
      <c r="Q312" s="99"/>
      <c r="R312" s="99"/>
      <c r="S312" s="99"/>
      <c r="T312" s="99"/>
      <c r="U312" s="99"/>
      <c r="V312" s="99"/>
      <c r="W312" s="99"/>
      <c r="X312" s="99"/>
      <c r="Y312" s="99"/>
      <c r="Z312" s="99"/>
      <c r="AA312" s="99"/>
      <c r="AB312" s="99"/>
      <c r="AC312" s="95" t="str">
        <f t="shared" si="1"/>
        <v/>
      </c>
    </row>
    <row r="313" ht="15.75" customHeight="1">
      <c r="N313" s="99"/>
      <c r="O313" s="99"/>
      <c r="P313" s="99"/>
      <c r="Q313" s="99"/>
      <c r="R313" s="99"/>
      <c r="S313" s="99"/>
      <c r="T313" s="99"/>
      <c r="U313" s="99"/>
      <c r="V313" s="99"/>
      <c r="W313" s="99"/>
      <c r="X313" s="99"/>
      <c r="Y313" s="99"/>
      <c r="Z313" s="99"/>
      <c r="AA313" s="99"/>
      <c r="AB313" s="99"/>
      <c r="AC313" s="95" t="str">
        <f t="shared" si="1"/>
        <v/>
      </c>
    </row>
    <row r="314" ht="15.75" customHeight="1">
      <c r="N314" s="99"/>
      <c r="O314" s="99"/>
      <c r="P314" s="99"/>
      <c r="Q314" s="99"/>
      <c r="R314" s="99"/>
      <c r="S314" s="99"/>
      <c r="T314" s="99"/>
      <c r="U314" s="99"/>
      <c r="V314" s="99"/>
      <c r="W314" s="99"/>
      <c r="X314" s="99"/>
      <c r="Y314" s="99"/>
      <c r="Z314" s="99"/>
      <c r="AA314" s="99"/>
      <c r="AB314" s="99"/>
      <c r="AC314" s="95" t="str">
        <f t="shared" si="1"/>
        <v/>
      </c>
    </row>
    <row r="315" ht="15.75" customHeight="1">
      <c r="N315" s="99"/>
      <c r="O315" s="99"/>
      <c r="P315" s="99"/>
      <c r="Q315" s="99"/>
      <c r="R315" s="99"/>
      <c r="S315" s="99"/>
      <c r="T315" s="99"/>
      <c r="U315" s="99"/>
      <c r="V315" s="99"/>
      <c r="W315" s="99"/>
      <c r="X315" s="99"/>
      <c r="Y315" s="99"/>
      <c r="Z315" s="99"/>
      <c r="AA315" s="99"/>
      <c r="AB315" s="99"/>
      <c r="AC315" s="95" t="str">
        <f t="shared" si="1"/>
        <v/>
      </c>
    </row>
    <row r="316" ht="15.75" customHeight="1">
      <c r="N316" s="99"/>
      <c r="O316" s="99"/>
      <c r="P316" s="99"/>
      <c r="Q316" s="99"/>
      <c r="R316" s="99"/>
      <c r="S316" s="99"/>
      <c r="T316" s="99"/>
      <c r="U316" s="99"/>
      <c r="V316" s="99"/>
      <c r="W316" s="99"/>
      <c r="X316" s="99"/>
      <c r="Y316" s="99"/>
      <c r="Z316" s="99"/>
      <c r="AA316" s="99"/>
      <c r="AB316" s="99"/>
      <c r="AC316" s="95" t="str">
        <f t="shared" si="1"/>
        <v/>
      </c>
    </row>
    <row r="317" ht="15.75" customHeight="1">
      <c r="N317" s="99"/>
      <c r="O317" s="99"/>
      <c r="P317" s="99"/>
      <c r="Q317" s="99"/>
      <c r="R317" s="99"/>
      <c r="S317" s="99"/>
      <c r="T317" s="99"/>
      <c r="U317" s="99"/>
      <c r="V317" s="99"/>
      <c r="W317" s="99"/>
      <c r="X317" s="99"/>
      <c r="Y317" s="99"/>
      <c r="Z317" s="99"/>
      <c r="AA317" s="99"/>
      <c r="AB317" s="99"/>
      <c r="AC317" s="95" t="str">
        <f t="shared" si="1"/>
        <v/>
      </c>
    </row>
    <row r="318" ht="15.75" customHeight="1">
      <c r="N318" s="99"/>
      <c r="O318" s="99"/>
      <c r="P318" s="99"/>
      <c r="Q318" s="99"/>
      <c r="R318" s="99"/>
      <c r="S318" s="99"/>
      <c r="T318" s="99"/>
      <c r="U318" s="99"/>
      <c r="V318" s="99"/>
      <c r="W318" s="99"/>
      <c r="X318" s="99"/>
      <c r="Y318" s="99"/>
      <c r="Z318" s="99"/>
      <c r="AA318" s="99"/>
      <c r="AB318" s="99"/>
      <c r="AC318" s="95" t="str">
        <f t="shared" si="1"/>
        <v/>
      </c>
    </row>
    <row r="319" ht="15.75" customHeight="1">
      <c r="N319" s="99"/>
      <c r="O319" s="99"/>
      <c r="P319" s="99"/>
      <c r="Q319" s="99"/>
      <c r="R319" s="99"/>
      <c r="S319" s="99"/>
      <c r="T319" s="99"/>
      <c r="U319" s="99"/>
      <c r="V319" s="99"/>
      <c r="W319" s="99"/>
      <c r="X319" s="99"/>
      <c r="Y319" s="99"/>
      <c r="Z319" s="99"/>
      <c r="AA319" s="99"/>
      <c r="AB319" s="99"/>
      <c r="AC319" s="95" t="str">
        <f t="shared" si="1"/>
        <v/>
      </c>
    </row>
    <row r="320" ht="15.75" customHeight="1">
      <c r="N320" s="99"/>
      <c r="O320" s="99"/>
      <c r="P320" s="99"/>
      <c r="Q320" s="99"/>
      <c r="R320" s="99"/>
      <c r="S320" s="99"/>
      <c r="T320" s="99"/>
      <c r="U320" s="99"/>
      <c r="V320" s="99"/>
      <c r="W320" s="99"/>
      <c r="X320" s="99"/>
      <c r="Y320" s="99"/>
      <c r="Z320" s="99"/>
      <c r="AA320" s="99"/>
      <c r="AB320" s="99"/>
      <c r="AC320" s="95" t="str">
        <f t="shared" si="1"/>
        <v/>
      </c>
    </row>
    <row r="321" ht="15.75" customHeight="1">
      <c r="N321" s="99"/>
      <c r="O321" s="99"/>
      <c r="P321" s="99"/>
      <c r="Q321" s="99"/>
      <c r="R321" s="99"/>
      <c r="S321" s="99"/>
      <c r="T321" s="99"/>
      <c r="U321" s="99"/>
      <c r="V321" s="99"/>
      <c r="W321" s="99"/>
      <c r="X321" s="99"/>
      <c r="Y321" s="99"/>
      <c r="Z321" s="99"/>
      <c r="AA321" s="99"/>
      <c r="AB321" s="99"/>
      <c r="AC321" s="95" t="str">
        <f t="shared" si="1"/>
        <v/>
      </c>
    </row>
    <row r="322" ht="15.75" customHeight="1">
      <c r="N322" s="99"/>
      <c r="O322" s="99"/>
      <c r="P322" s="99"/>
      <c r="Q322" s="99"/>
      <c r="R322" s="99"/>
      <c r="S322" s="99"/>
      <c r="T322" s="99"/>
      <c r="U322" s="99"/>
      <c r="V322" s="99"/>
      <c r="W322" s="99"/>
      <c r="X322" s="99"/>
      <c r="Y322" s="99"/>
      <c r="Z322" s="99"/>
      <c r="AA322" s="99"/>
      <c r="AB322" s="99"/>
      <c r="AC322" s="95" t="str">
        <f t="shared" si="1"/>
        <v/>
      </c>
    </row>
    <row r="323" ht="15.75" customHeight="1">
      <c r="N323" s="99"/>
      <c r="O323" s="99"/>
      <c r="P323" s="99"/>
      <c r="Q323" s="99"/>
      <c r="R323" s="99"/>
      <c r="S323" s="99"/>
      <c r="T323" s="99"/>
      <c r="U323" s="99"/>
      <c r="V323" s="99"/>
      <c r="W323" s="99"/>
      <c r="X323" s="99"/>
      <c r="Y323" s="99"/>
      <c r="Z323" s="99"/>
      <c r="AA323" s="99"/>
      <c r="AB323" s="99"/>
      <c r="AC323" s="95" t="str">
        <f t="shared" si="1"/>
        <v/>
      </c>
    </row>
    <row r="324" ht="15.75" customHeight="1">
      <c r="N324" s="99"/>
      <c r="O324" s="99"/>
      <c r="P324" s="99"/>
      <c r="Q324" s="99"/>
      <c r="R324" s="99"/>
      <c r="S324" s="99"/>
      <c r="T324" s="99"/>
      <c r="U324" s="99"/>
      <c r="V324" s="99"/>
      <c r="W324" s="99"/>
      <c r="X324" s="99"/>
      <c r="Y324" s="99"/>
      <c r="Z324" s="99"/>
      <c r="AA324" s="99"/>
      <c r="AB324" s="99"/>
      <c r="AC324" s="95" t="str">
        <f t="shared" si="1"/>
        <v/>
      </c>
    </row>
    <row r="325" ht="15.75" customHeight="1">
      <c r="N325" s="99"/>
      <c r="O325" s="99"/>
      <c r="P325" s="99"/>
      <c r="Q325" s="99"/>
      <c r="R325" s="99"/>
      <c r="S325" s="99"/>
      <c r="T325" s="99"/>
      <c r="U325" s="99"/>
      <c r="V325" s="99"/>
      <c r="W325" s="99"/>
      <c r="X325" s="99"/>
      <c r="Y325" s="99"/>
      <c r="Z325" s="99"/>
      <c r="AA325" s="99"/>
      <c r="AB325" s="99"/>
      <c r="AC325" s="95" t="str">
        <f t="shared" si="1"/>
        <v/>
      </c>
    </row>
    <row r="326" ht="15.75" customHeight="1">
      <c r="N326" s="99"/>
      <c r="O326" s="99"/>
      <c r="P326" s="99"/>
      <c r="Q326" s="99"/>
      <c r="R326" s="99"/>
      <c r="S326" s="99"/>
      <c r="T326" s="99"/>
      <c r="U326" s="99"/>
      <c r="V326" s="99"/>
      <c r="W326" s="99"/>
      <c r="X326" s="99"/>
      <c r="Y326" s="99"/>
      <c r="Z326" s="99"/>
      <c r="AA326" s="99"/>
      <c r="AB326" s="99"/>
      <c r="AC326" s="95" t="str">
        <f t="shared" si="1"/>
        <v/>
      </c>
    </row>
    <row r="327" ht="15.75" customHeight="1">
      <c r="N327" s="99"/>
      <c r="O327" s="99"/>
      <c r="P327" s="99"/>
      <c r="Q327" s="99"/>
      <c r="R327" s="99"/>
      <c r="S327" s="99"/>
      <c r="T327" s="99"/>
      <c r="U327" s="99"/>
      <c r="V327" s="99"/>
      <c r="W327" s="99"/>
      <c r="X327" s="99"/>
      <c r="Y327" s="99"/>
      <c r="Z327" s="99"/>
      <c r="AA327" s="99"/>
      <c r="AB327" s="99"/>
      <c r="AC327" s="95" t="str">
        <f t="shared" si="1"/>
        <v/>
      </c>
    </row>
    <row r="328" ht="15.75" customHeight="1">
      <c r="N328" s="99"/>
      <c r="O328" s="99"/>
      <c r="P328" s="99"/>
      <c r="Q328" s="99"/>
      <c r="R328" s="99"/>
      <c r="S328" s="99"/>
      <c r="T328" s="99"/>
      <c r="U328" s="99"/>
      <c r="V328" s="99"/>
      <c r="W328" s="99"/>
      <c r="X328" s="99"/>
      <c r="Y328" s="99"/>
      <c r="Z328" s="99"/>
      <c r="AA328" s="99"/>
      <c r="AB328" s="99"/>
      <c r="AC328" s="95" t="str">
        <f t="shared" si="1"/>
        <v/>
      </c>
    </row>
    <row r="329" ht="15.75" customHeight="1">
      <c r="N329" s="99"/>
      <c r="O329" s="99"/>
      <c r="P329" s="99"/>
      <c r="Q329" s="99"/>
      <c r="R329" s="99"/>
      <c r="S329" s="99"/>
      <c r="T329" s="99"/>
      <c r="U329" s="99"/>
      <c r="V329" s="99"/>
      <c r="W329" s="99"/>
      <c r="X329" s="99"/>
      <c r="Y329" s="99"/>
      <c r="Z329" s="99"/>
      <c r="AA329" s="99"/>
      <c r="AB329" s="99"/>
      <c r="AC329" s="95" t="str">
        <f t="shared" si="1"/>
        <v/>
      </c>
    </row>
    <row r="330" ht="15.75" customHeight="1">
      <c r="N330" s="99"/>
      <c r="O330" s="99"/>
      <c r="P330" s="99"/>
      <c r="Q330" s="99"/>
      <c r="R330" s="99"/>
      <c r="S330" s="99"/>
      <c r="T330" s="99"/>
      <c r="U330" s="99"/>
      <c r="V330" s="99"/>
      <c r="W330" s="99"/>
      <c r="X330" s="99"/>
      <c r="Y330" s="99"/>
      <c r="Z330" s="99"/>
      <c r="AA330" s="99"/>
      <c r="AB330" s="99"/>
      <c r="AC330" s="95" t="str">
        <f t="shared" si="1"/>
        <v/>
      </c>
    </row>
    <row r="331" ht="15.75" customHeight="1">
      <c r="N331" s="99"/>
      <c r="O331" s="99"/>
      <c r="P331" s="99"/>
      <c r="Q331" s="99"/>
      <c r="R331" s="99"/>
      <c r="S331" s="99"/>
      <c r="T331" s="99"/>
      <c r="U331" s="99"/>
      <c r="V331" s="99"/>
      <c r="W331" s="99"/>
      <c r="X331" s="99"/>
      <c r="Y331" s="99"/>
      <c r="Z331" s="99"/>
      <c r="AA331" s="99"/>
      <c r="AB331" s="99"/>
      <c r="AC331" s="95" t="str">
        <f t="shared" si="1"/>
        <v/>
      </c>
    </row>
    <row r="332" ht="15.75" customHeight="1">
      <c r="N332" s="99"/>
      <c r="O332" s="99"/>
      <c r="P332" s="99"/>
      <c r="Q332" s="99"/>
      <c r="R332" s="99"/>
      <c r="S332" s="99"/>
      <c r="T332" s="99"/>
      <c r="U332" s="99"/>
      <c r="V332" s="99"/>
      <c r="W332" s="99"/>
      <c r="X332" s="99"/>
      <c r="Y332" s="99"/>
      <c r="Z332" s="99"/>
      <c r="AA332" s="99"/>
      <c r="AB332" s="99"/>
      <c r="AC332" s="95" t="str">
        <f t="shared" si="1"/>
        <v/>
      </c>
    </row>
    <row r="333" ht="15.75" customHeight="1">
      <c r="N333" s="99"/>
      <c r="O333" s="99"/>
      <c r="P333" s="99"/>
      <c r="Q333" s="99"/>
      <c r="R333" s="99"/>
      <c r="S333" s="99"/>
      <c r="T333" s="99"/>
      <c r="U333" s="99"/>
      <c r="V333" s="99"/>
      <c r="W333" s="99"/>
      <c r="X333" s="99"/>
      <c r="Y333" s="99"/>
      <c r="Z333" s="99"/>
      <c r="AA333" s="99"/>
      <c r="AB333" s="99"/>
      <c r="AC333" s="95" t="str">
        <f t="shared" si="1"/>
        <v/>
      </c>
    </row>
    <row r="334" ht="15.75" customHeight="1">
      <c r="N334" s="99"/>
      <c r="O334" s="99"/>
      <c r="P334" s="99"/>
      <c r="Q334" s="99"/>
      <c r="R334" s="99"/>
      <c r="S334" s="99"/>
      <c r="T334" s="99"/>
      <c r="U334" s="99"/>
      <c r="V334" s="99"/>
      <c r="W334" s="99"/>
      <c r="X334" s="99"/>
      <c r="Y334" s="99"/>
      <c r="Z334" s="99"/>
      <c r="AA334" s="99"/>
      <c r="AB334" s="99"/>
      <c r="AC334" s="95" t="str">
        <f t="shared" si="1"/>
        <v/>
      </c>
    </row>
    <row r="335" ht="15.75" customHeight="1">
      <c r="N335" s="99"/>
      <c r="O335" s="99"/>
      <c r="P335" s="99"/>
      <c r="Q335" s="99"/>
      <c r="R335" s="99"/>
      <c r="S335" s="99"/>
      <c r="T335" s="99"/>
      <c r="U335" s="99"/>
      <c r="V335" s="99"/>
      <c r="W335" s="99"/>
      <c r="X335" s="99"/>
      <c r="Y335" s="99"/>
      <c r="Z335" s="99"/>
      <c r="AA335" s="99"/>
      <c r="AB335" s="99"/>
      <c r="AC335" s="95" t="str">
        <f t="shared" si="1"/>
        <v/>
      </c>
    </row>
    <row r="336" ht="15.75" customHeight="1">
      <c r="N336" s="99"/>
      <c r="O336" s="99"/>
      <c r="P336" s="99"/>
      <c r="Q336" s="99"/>
      <c r="R336" s="99"/>
      <c r="S336" s="99"/>
      <c r="T336" s="99"/>
      <c r="U336" s="99"/>
      <c r="V336" s="99"/>
      <c r="W336" s="99"/>
      <c r="X336" s="99"/>
      <c r="Y336" s="99"/>
      <c r="Z336" s="99"/>
      <c r="AA336" s="99"/>
      <c r="AB336" s="99"/>
      <c r="AC336" s="95" t="str">
        <f t="shared" si="1"/>
        <v/>
      </c>
    </row>
    <row r="337" ht="15.75" customHeight="1">
      <c r="N337" s="99"/>
      <c r="O337" s="99"/>
      <c r="P337" s="99"/>
      <c r="Q337" s="99"/>
      <c r="R337" s="99"/>
      <c r="S337" s="99"/>
      <c r="T337" s="99"/>
      <c r="U337" s="99"/>
      <c r="V337" s="99"/>
      <c r="W337" s="99"/>
      <c r="X337" s="99"/>
      <c r="Y337" s="99"/>
      <c r="Z337" s="99"/>
      <c r="AA337" s="99"/>
      <c r="AB337" s="99"/>
      <c r="AC337" s="95" t="str">
        <f t="shared" si="1"/>
        <v/>
      </c>
    </row>
    <row r="338" ht="15.75" customHeight="1">
      <c r="N338" s="99"/>
      <c r="O338" s="99"/>
      <c r="P338" s="99"/>
      <c r="Q338" s="99"/>
      <c r="R338" s="99"/>
      <c r="S338" s="99"/>
      <c r="T338" s="99"/>
      <c r="U338" s="99"/>
      <c r="V338" s="99"/>
      <c r="W338" s="99"/>
      <c r="X338" s="99"/>
      <c r="Y338" s="99"/>
      <c r="Z338" s="99"/>
      <c r="AA338" s="99"/>
      <c r="AB338" s="99"/>
      <c r="AC338" s="95" t="str">
        <f t="shared" si="1"/>
        <v/>
      </c>
    </row>
    <row r="339" ht="15.75" customHeight="1">
      <c r="N339" s="99"/>
      <c r="O339" s="99"/>
      <c r="P339" s="99"/>
      <c r="Q339" s="99"/>
      <c r="R339" s="99"/>
      <c r="S339" s="99"/>
      <c r="T339" s="99"/>
      <c r="U339" s="99"/>
      <c r="V339" s="99"/>
      <c r="W339" s="99"/>
      <c r="X339" s="99"/>
      <c r="Y339" s="99"/>
      <c r="Z339" s="99"/>
      <c r="AA339" s="99"/>
      <c r="AB339" s="99"/>
      <c r="AC339" s="95" t="str">
        <f t="shared" si="1"/>
        <v/>
      </c>
    </row>
    <row r="340" ht="15.75" customHeight="1">
      <c r="N340" s="99"/>
      <c r="O340" s="99"/>
      <c r="P340" s="99"/>
      <c r="Q340" s="99"/>
      <c r="R340" s="99"/>
      <c r="S340" s="99"/>
      <c r="T340" s="99"/>
      <c r="U340" s="99"/>
      <c r="V340" s="99"/>
      <c r="W340" s="99"/>
      <c r="X340" s="99"/>
      <c r="Y340" s="99"/>
      <c r="Z340" s="99"/>
      <c r="AA340" s="99"/>
      <c r="AB340" s="99"/>
      <c r="AC340" s="95" t="str">
        <f t="shared" si="1"/>
        <v/>
      </c>
    </row>
    <row r="341" ht="15.75" customHeight="1">
      <c r="N341" s="99"/>
      <c r="O341" s="99"/>
      <c r="P341" s="99"/>
      <c r="Q341" s="99"/>
      <c r="R341" s="99"/>
      <c r="S341" s="99"/>
      <c r="T341" s="99"/>
      <c r="U341" s="99"/>
      <c r="V341" s="99"/>
      <c r="W341" s="99"/>
      <c r="X341" s="99"/>
      <c r="Y341" s="99"/>
      <c r="Z341" s="99"/>
      <c r="AA341" s="99"/>
      <c r="AB341" s="99"/>
      <c r="AC341" s="95" t="str">
        <f t="shared" si="1"/>
        <v/>
      </c>
    </row>
    <row r="342" ht="15.75" customHeight="1">
      <c r="N342" s="99"/>
      <c r="O342" s="99"/>
      <c r="P342" s="99"/>
      <c r="Q342" s="99"/>
      <c r="R342" s="99"/>
      <c r="S342" s="99"/>
      <c r="T342" s="99"/>
      <c r="U342" s="99"/>
      <c r="V342" s="99"/>
      <c r="W342" s="99"/>
      <c r="X342" s="99"/>
      <c r="Y342" s="99"/>
      <c r="Z342" s="99"/>
      <c r="AA342" s="99"/>
      <c r="AB342" s="99"/>
      <c r="AC342" s="95" t="str">
        <f t="shared" si="1"/>
        <v/>
      </c>
    </row>
    <row r="343" ht="15.75" customHeight="1">
      <c r="N343" s="99"/>
      <c r="O343" s="99"/>
      <c r="P343" s="99"/>
      <c r="Q343" s="99"/>
      <c r="R343" s="99"/>
      <c r="S343" s="99"/>
      <c r="T343" s="99"/>
      <c r="U343" s="99"/>
      <c r="V343" s="99"/>
      <c r="W343" s="99"/>
      <c r="X343" s="99"/>
      <c r="Y343" s="99"/>
      <c r="Z343" s="99"/>
      <c r="AA343" s="99"/>
      <c r="AB343" s="99"/>
      <c r="AC343" s="95" t="str">
        <f t="shared" si="1"/>
        <v/>
      </c>
    </row>
    <row r="344" ht="15.75" customHeight="1">
      <c r="N344" s="99"/>
      <c r="O344" s="99"/>
      <c r="P344" s="99"/>
      <c r="Q344" s="99"/>
      <c r="R344" s="99"/>
      <c r="S344" s="99"/>
      <c r="T344" s="99"/>
      <c r="U344" s="99"/>
      <c r="V344" s="99"/>
      <c r="W344" s="99"/>
      <c r="X344" s="99"/>
      <c r="Y344" s="99"/>
      <c r="Z344" s="99"/>
      <c r="AA344" s="99"/>
      <c r="AB344" s="99"/>
      <c r="AC344" s="95" t="str">
        <f t="shared" si="1"/>
        <v/>
      </c>
    </row>
    <row r="345" ht="15.75" customHeight="1">
      <c r="N345" s="99"/>
      <c r="O345" s="99"/>
      <c r="P345" s="99"/>
      <c r="Q345" s="99"/>
      <c r="R345" s="99"/>
      <c r="S345" s="99"/>
      <c r="T345" s="99"/>
      <c r="U345" s="99"/>
      <c r="V345" s="99"/>
      <c r="W345" s="99"/>
      <c r="X345" s="99"/>
      <c r="Y345" s="99"/>
      <c r="Z345" s="99"/>
      <c r="AA345" s="99"/>
      <c r="AB345" s="99"/>
      <c r="AC345" s="95" t="str">
        <f t="shared" si="1"/>
        <v/>
      </c>
    </row>
    <row r="346" ht="15.75" customHeight="1">
      <c r="N346" s="99"/>
      <c r="O346" s="99"/>
      <c r="P346" s="99"/>
      <c r="Q346" s="99"/>
      <c r="R346" s="99"/>
      <c r="S346" s="99"/>
      <c r="T346" s="99"/>
      <c r="U346" s="99"/>
      <c r="V346" s="99"/>
      <c r="W346" s="99"/>
      <c r="X346" s="99"/>
      <c r="Y346" s="99"/>
      <c r="Z346" s="99"/>
      <c r="AA346" s="99"/>
      <c r="AB346" s="99"/>
      <c r="AC346" s="95" t="str">
        <f t="shared" si="1"/>
        <v/>
      </c>
    </row>
    <row r="347" ht="15.75" customHeight="1">
      <c r="N347" s="99"/>
      <c r="O347" s="99"/>
      <c r="P347" s="99"/>
      <c r="Q347" s="99"/>
      <c r="R347" s="99"/>
      <c r="S347" s="99"/>
      <c r="T347" s="99"/>
      <c r="U347" s="99"/>
      <c r="V347" s="99"/>
      <c r="W347" s="99"/>
      <c r="X347" s="99"/>
      <c r="Y347" s="99"/>
      <c r="Z347" s="99"/>
      <c r="AA347" s="99"/>
      <c r="AB347" s="99"/>
      <c r="AC347" s="95" t="str">
        <f t="shared" si="1"/>
        <v/>
      </c>
    </row>
    <row r="348" ht="15.75" customHeight="1">
      <c r="N348" s="99"/>
      <c r="O348" s="99"/>
      <c r="P348" s="99"/>
      <c r="Q348" s="99"/>
      <c r="R348" s="99"/>
      <c r="S348" s="99"/>
      <c r="T348" s="99"/>
      <c r="U348" s="99"/>
      <c r="V348" s="99"/>
      <c r="W348" s="99"/>
      <c r="X348" s="99"/>
      <c r="Y348" s="99"/>
      <c r="Z348" s="99"/>
      <c r="AA348" s="99"/>
      <c r="AB348" s="99"/>
      <c r="AC348" s="95" t="str">
        <f t="shared" si="1"/>
        <v/>
      </c>
    </row>
    <row r="349" ht="15.75" customHeight="1">
      <c r="N349" s="99"/>
      <c r="O349" s="99"/>
      <c r="P349" s="99"/>
      <c r="Q349" s="99"/>
      <c r="R349" s="99"/>
      <c r="S349" s="99"/>
      <c r="T349" s="99"/>
      <c r="U349" s="99"/>
      <c r="V349" s="99"/>
      <c r="W349" s="99"/>
      <c r="X349" s="99"/>
      <c r="Y349" s="99"/>
      <c r="Z349" s="99"/>
      <c r="AA349" s="99"/>
      <c r="AB349" s="99"/>
      <c r="AC349" s="95" t="str">
        <f t="shared" si="1"/>
        <v/>
      </c>
    </row>
    <row r="350" ht="15.75" customHeight="1">
      <c r="N350" s="99"/>
      <c r="O350" s="99"/>
      <c r="P350" s="99"/>
      <c r="Q350" s="99"/>
      <c r="R350" s="99"/>
      <c r="S350" s="99"/>
      <c r="T350" s="99"/>
      <c r="U350" s="99"/>
      <c r="V350" s="99"/>
      <c r="W350" s="99"/>
      <c r="X350" s="99"/>
      <c r="Y350" s="99"/>
      <c r="Z350" s="99"/>
      <c r="AA350" s="99"/>
      <c r="AB350" s="99"/>
      <c r="AC350" s="95" t="str">
        <f t="shared" si="1"/>
        <v/>
      </c>
    </row>
    <row r="351" ht="15.75" customHeight="1">
      <c r="N351" s="99"/>
      <c r="O351" s="99"/>
      <c r="P351" s="99"/>
      <c r="Q351" s="99"/>
      <c r="R351" s="99"/>
      <c r="S351" s="99"/>
      <c r="T351" s="99"/>
      <c r="U351" s="99"/>
      <c r="V351" s="99"/>
      <c r="W351" s="99"/>
      <c r="X351" s="99"/>
      <c r="Y351" s="99"/>
      <c r="Z351" s="99"/>
      <c r="AA351" s="99"/>
      <c r="AB351" s="99"/>
      <c r="AC351" s="95" t="str">
        <f t="shared" si="1"/>
        <v/>
      </c>
    </row>
    <row r="352" ht="15.75" customHeight="1">
      <c r="N352" s="99"/>
      <c r="O352" s="99"/>
      <c r="P352" s="99"/>
      <c r="Q352" s="99"/>
      <c r="R352" s="99"/>
      <c r="S352" s="99"/>
      <c r="T352" s="99"/>
      <c r="U352" s="99"/>
      <c r="V352" s="99"/>
      <c r="W352" s="99"/>
      <c r="X352" s="99"/>
      <c r="Y352" s="99"/>
      <c r="Z352" s="99"/>
      <c r="AA352" s="99"/>
      <c r="AB352" s="99"/>
      <c r="AC352" s="95" t="str">
        <f t="shared" si="1"/>
        <v/>
      </c>
    </row>
    <row r="353" ht="15.75" customHeight="1">
      <c r="N353" s="99"/>
      <c r="O353" s="99"/>
      <c r="P353" s="99"/>
      <c r="Q353" s="99"/>
      <c r="R353" s="99"/>
      <c r="S353" s="99"/>
      <c r="T353" s="99"/>
      <c r="U353" s="99"/>
      <c r="V353" s="99"/>
      <c r="W353" s="99"/>
      <c r="X353" s="99"/>
      <c r="Y353" s="99"/>
      <c r="Z353" s="99"/>
      <c r="AA353" s="99"/>
      <c r="AB353" s="99"/>
      <c r="AC353" s="95" t="str">
        <f t="shared" si="1"/>
        <v/>
      </c>
    </row>
    <row r="354" ht="15.75" customHeight="1">
      <c r="N354" s="99"/>
      <c r="O354" s="99"/>
      <c r="P354" s="99"/>
      <c r="Q354" s="99"/>
      <c r="R354" s="99"/>
      <c r="S354" s="99"/>
      <c r="T354" s="99"/>
      <c r="U354" s="99"/>
      <c r="V354" s="99"/>
      <c r="W354" s="99"/>
      <c r="X354" s="99"/>
      <c r="Y354" s="99"/>
      <c r="Z354" s="99"/>
      <c r="AA354" s="99"/>
      <c r="AB354" s="99"/>
      <c r="AC354" s="95" t="str">
        <f t="shared" si="1"/>
        <v/>
      </c>
    </row>
    <row r="355" ht="15.75" customHeight="1">
      <c r="N355" s="99"/>
      <c r="O355" s="99"/>
      <c r="P355" s="99"/>
      <c r="Q355" s="99"/>
      <c r="R355" s="99"/>
      <c r="S355" s="99"/>
      <c r="T355" s="99"/>
      <c r="U355" s="99"/>
      <c r="V355" s="99"/>
      <c r="W355" s="99"/>
      <c r="X355" s="99"/>
      <c r="Y355" s="99"/>
      <c r="Z355" s="99"/>
      <c r="AA355" s="99"/>
      <c r="AB355" s="99"/>
      <c r="AC355" s="95" t="str">
        <f t="shared" si="1"/>
        <v/>
      </c>
    </row>
    <row r="356" ht="15.75" customHeight="1">
      <c r="N356" s="99"/>
      <c r="O356" s="99"/>
      <c r="P356" s="99"/>
      <c r="Q356" s="99"/>
      <c r="R356" s="99"/>
      <c r="S356" s="99"/>
      <c r="T356" s="99"/>
      <c r="U356" s="99"/>
      <c r="V356" s="99"/>
      <c r="W356" s="99"/>
      <c r="X356" s="99"/>
      <c r="Y356" s="99"/>
      <c r="Z356" s="99"/>
      <c r="AA356" s="99"/>
      <c r="AB356" s="99"/>
      <c r="AC356" s="95" t="str">
        <f t="shared" si="1"/>
        <v/>
      </c>
    </row>
    <row r="357" ht="15.75" customHeight="1">
      <c r="N357" s="99"/>
      <c r="O357" s="99"/>
      <c r="P357" s="99"/>
      <c r="Q357" s="99"/>
      <c r="R357" s="99"/>
      <c r="S357" s="99"/>
      <c r="T357" s="99"/>
      <c r="U357" s="99"/>
      <c r="V357" s="99"/>
      <c r="W357" s="99"/>
      <c r="X357" s="99"/>
      <c r="Y357" s="99"/>
      <c r="Z357" s="99"/>
      <c r="AA357" s="99"/>
      <c r="AB357" s="99"/>
      <c r="AC357" s="95" t="str">
        <f t="shared" si="1"/>
        <v/>
      </c>
    </row>
    <row r="358" ht="15.75" customHeight="1">
      <c r="N358" s="99"/>
      <c r="O358" s="99"/>
      <c r="P358" s="99"/>
      <c r="Q358" s="99"/>
      <c r="R358" s="99"/>
      <c r="S358" s="99"/>
      <c r="T358" s="99"/>
      <c r="U358" s="99"/>
      <c r="V358" s="99"/>
      <c r="W358" s="99"/>
      <c r="X358" s="99"/>
      <c r="Y358" s="99"/>
      <c r="Z358" s="99"/>
      <c r="AA358" s="99"/>
      <c r="AB358" s="99"/>
      <c r="AC358" s="95" t="str">
        <f t="shared" si="1"/>
        <v/>
      </c>
    </row>
    <row r="359" ht="15.75" customHeight="1">
      <c r="N359" s="99"/>
      <c r="O359" s="99"/>
      <c r="P359" s="99"/>
      <c r="Q359" s="99"/>
      <c r="R359" s="99"/>
      <c r="S359" s="99"/>
      <c r="T359" s="99"/>
      <c r="U359" s="99"/>
      <c r="V359" s="99"/>
      <c r="W359" s="99"/>
      <c r="X359" s="99"/>
      <c r="Y359" s="99"/>
      <c r="Z359" s="99"/>
      <c r="AA359" s="99"/>
      <c r="AB359" s="99"/>
      <c r="AC359" s="95" t="str">
        <f t="shared" si="1"/>
        <v/>
      </c>
    </row>
    <row r="360" ht="15.75" customHeight="1">
      <c r="N360" s="99"/>
      <c r="O360" s="99"/>
      <c r="P360" s="99"/>
      <c r="Q360" s="99"/>
      <c r="R360" s="99"/>
      <c r="S360" s="99"/>
      <c r="T360" s="99"/>
      <c r="U360" s="99"/>
      <c r="V360" s="99"/>
      <c r="W360" s="99"/>
      <c r="X360" s="99"/>
      <c r="Y360" s="99"/>
      <c r="Z360" s="99"/>
      <c r="AA360" s="99"/>
      <c r="AB360" s="99"/>
      <c r="AC360" s="95" t="str">
        <f t="shared" si="1"/>
        <v/>
      </c>
    </row>
    <row r="361" ht="15.75" customHeight="1">
      <c r="N361" s="99"/>
      <c r="O361" s="99"/>
      <c r="P361" s="99"/>
      <c r="Q361" s="99"/>
      <c r="R361" s="99"/>
      <c r="S361" s="99"/>
      <c r="T361" s="99"/>
      <c r="U361" s="99"/>
      <c r="V361" s="99"/>
      <c r="W361" s="99"/>
      <c r="X361" s="99"/>
      <c r="Y361" s="99"/>
      <c r="Z361" s="99"/>
      <c r="AA361" s="99"/>
      <c r="AB361" s="99"/>
      <c r="AC361" s="95" t="str">
        <f t="shared" si="1"/>
        <v/>
      </c>
    </row>
    <row r="362" ht="15.75" customHeight="1">
      <c r="N362" s="99"/>
      <c r="O362" s="99"/>
      <c r="P362" s="99"/>
      <c r="Q362" s="99"/>
      <c r="R362" s="99"/>
      <c r="S362" s="99"/>
      <c r="T362" s="99"/>
      <c r="U362" s="99"/>
      <c r="V362" s="99"/>
      <c r="W362" s="99"/>
      <c r="X362" s="99"/>
      <c r="Y362" s="99"/>
      <c r="Z362" s="99"/>
      <c r="AA362" s="99"/>
      <c r="AB362" s="99"/>
      <c r="AC362" s="95" t="str">
        <f t="shared" si="1"/>
        <v/>
      </c>
    </row>
    <row r="363" ht="15.75" customHeight="1">
      <c r="N363" s="99"/>
      <c r="O363" s="99"/>
      <c r="P363" s="99"/>
      <c r="Q363" s="99"/>
      <c r="R363" s="99"/>
      <c r="S363" s="99"/>
      <c r="T363" s="99"/>
      <c r="U363" s="99"/>
      <c r="V363" s="99"/>
      <c r="W363" s="99"/>
      <c r="X363" s="99"/>
      <c r="Y363" s="99"/>
      <c r="Z363" s="99"/>
      <c r="AA363" s="99"/>
      <c r="AB363" s="99"/>
      <c r="AC363" s="95" t="str">
        <f t="shared" si="1"/>
        <v/>
      </c>
    </row>
    <row r="364" ht="15.75" customHeight="1">
      <c r="N364" s="99"/>
      <c r="O364" s="99"/>
      <c r="P364" s="99"/>
      <c r="Q364" s="99"/>
      <c r="R364" s="99"/>
      <c r="S364" s="99"/>
      <c r="T364" s="99"/>
      <c r="U364" s="99"/>
      <c r="V364" s="99"/>
      <c r="W364" s="99"/>
      <c r="X364" s="99"/>
      <c r="Y364" s="99"/>
      <c r="Z364" s="99"/>
      <c r="AA364" s="99"/>
      <c r="AB364" s="99"/>
      <c r="AC364" s="95" t="str">
        <f t="shared" si="1"/>
        <v/>
      </c>
    </row>
    <row r="365" ht="15.75" customHeight="1">
      <c r="N365" s="99"/>
      <c r="O365" s="99"/>
      <c r="P365" s="99"/>
      <c r="Q365" s="99"/>
      <c r="R365" s="99"/>
      <c r="S365" s="99"/>
      <c r="T365" s="99"/>
      <c r="U365" s="99"/>
      <c r="V365" s="99"/>
      <c r="W365" s="99"/>
      <c r="X365" s="99"/>
      <c r="Y365" s="99"/>
      <c r="Z365" s="99"/>
      <c r="AA365" s="99"/>
      <c r="AB365" s="99"/>
      <c r="AC365" s="95" t="str">
        <f t="shared" si="1"/>
        <v/>
      </c>
    </row>
    <row r="366" ht="15.75" customHeight="1">
      <c r="N366" s="99"/>
      <c r="O366" s="99"/>
      <c r="P366" s="99"/>
      <c r="Q366" s="99"/>
      <c r="R366" s="99"/>
      <c r="S366" s="99"/>
      <c r="T366" s="99"/>
      <c r="U366" s="99"/>
      <c r="V366" s="99"/>
      <c r="W366" s="99"/>
      <c r="X366" s="99"/>
      <c r="Y366" s="99"/>
      <c r="Z366" s="99"/>
      <c r="AA366" s="99"/>
      <c r="AB366" s="99"/>
      <c r="AC366" s="95" t="str">
        <f t="shared" si="1"/>
        <v/>
      </c>
    </row>
    <row r="367" ht="15.75" customHeight="1">
      <c r="N367" s="99"/>
      <c r="O367" s="99"/>
      <c r="P367" s="99"/>
      <c r="Q367" s="99"/>
      <c r="R367" s="99"/>
      <c r="S367" s="99"/>
      <c r="T367" s="99"/>
      <c r="U367" s="99"/>
      <c r="V367" s="99"/>
      <c r="W367" s="99"/>
      <c r="X367" s="99"/>
      <c r="Y367" s="99"/>
      <c r="Z367" s="99"/>
      <c r="AA367" s="99"/>
      <c r="AB367" s="99"/>
      <c r="AC367" s="95" t="str">
        <f t="shared" si="1"/>
        <v/>
      </c>
    </row>
    <row r="368" ht="15.75" customHeight="1">
      <c r="N368" s="99"/>
      <c r="O368" s="99"/>
      <c r="P368" s="99"/>
      <c r="Q368" s="99"/>
      <c r="R368" s="99"/>
      <c r="S368" s="99"/>
      <c r="T368" s="99"/>
      <c r="U368" s="99"/>
      <c r="V368" s="99"/>
      <c r="W368" s="99"/>
      <c r="X368" s="99"/>
      <c r="Y368" s="99"/>
      <c r="Z368" s="99"/>
      <c r="AA368" s="99"/>
      <c r="AB368" s="99"/>
      <c r="AC368" s="95" t="str">
        <f t="shared" si="1"/>
        <v/>
      </c>
    </row>
    <row r="369" ht="15.75" customHeight="1">
      <c r="N369" s="99"/>
      <c r="O369" s="99"/>
      <c r="P369" s="99"/>
      <c r="Q369" s="99"/>
      <c r="R369" s="99"/>
      <c r="S369" s="99"/>
      <c r="T369" s="99"/>
      <c r="U369" s="99"/>
      <c r="V369" s="99"/>
      <c r="W369" s="99"/>
      <c r="X369" s="99"/>
      <c r="Y369" s="99"/>
      <c r="Z369" s="99"/>
      <c r="AA369" s="99"/>
      <c r="AB369" s="99"/>
      <c r="AC369" s="95" t="str">
        <f t="shared" si="1"/>
        <v/>
      </c>
    </row>
    <row r="370" ht="15.75" customHeight="1">
      <c r="N370" s="99"/>
      <c r="O370" s="99"/>
      <c r="P370" s="99"/>
      <c r="Q370" s="99"/>
      <c r="R370" s="99"/>
      <c r="S370" s="99"/>
      <c r="T370" s="99"/>
      <c r="U370" s="99"/>
      <c r="V370" s="99"/>
      <c r="W370" s="99"/>
      <c r="X370" s="99"/>
      <c r="Y370" s="99"/>
      <c r="Z370" s="99"/>
      <c r="AA370" s="99"/>
      <c r="AB370" s="99"/>
      <c r="AC370" s="95" t="str">
        <f t="shared" si="1"/>
        <v/>
      </c>
    </row>
    <row r="371" ht="15.75" customHeight="1">
      <c r="N371" s="99"/>
      <c r="O371" s="99"/>
      <c r="P371" s="99"/>
      <c r="Q371" s="99"/>
      <c r="R371" s="99"/>
      <c r="S371" s="99"/>
      <c r="T371" s="99"/>
      <c r="U371" s="99"/>
      <c r="V371" s="99"/>
      <c r="W371" s="99"/>
      <c r="X371" s="99"/>
      <c r="Y371" s="99"/>
      <c r="Z371" s="99"/>
      <c r="AA371" s="99"/>
      <c r="AB371" s="99"/>
      <c r="AC371" s="95" t="str">
        <f t="shared" si="1"/>
        <v/>
      </c>
    </row>
    <row r="372" ht="15.75" customHeight="1">
      <c r="N372" s="99"/>
      <c r="O372" s="99"/>
      <c r="P372" s="99"/>
      <c r="Q372" s="99"/>
      <c r="R372" s="99"/>
      <c r="S372" s="99"/>
      <c r="T372" s="99"/>
      <c r="U372" s="99"/>
      <c r="V372" s="99"/>
      <c r="W372" s="99"/>
      <c r="X372" s="99"/>
      <c r="Y372" s="99"/>
      <c r="Z372" s="99"/>
      <c r="AA372" s="99"/>
      <c r="AB372" s="99"/>
      <c r="AC372" s="95" t="str">
        <f t="shared" si="1"/>
        <v/>
      </c>
    </row>
    <row r="373" ht="15.75" customHeight="1">
      <c r="N373" s="99"/>
      <c r="O373" s="99"/>
      <c r="P373" s="99"/>
      <c r="Q373" s="99"/>
      <c r="R373" s="99"/>
      <c r="S373" s="99"/>
      <c r="T373" s="99"/>
      <c r="U373" s="99"/>
      <c r="V373" s="99"/>
      <c r="W373" s="99"/>
      <c r="X373" s="99"/>
      <c r="Y373" s="99"/>
      <c r="Z373" s="99"/>
      <c r="AA373" s="99"/>
      <c r="AB373" s="99"/>
      <c r="AC373" s="95" t="str">
        <f t="shared" si="1"/>
        <v/>
      </c>
    </row>
    <row r="374" ht="15.75" customHeight="1">
      <c r="N374" s="99"/>
      <c r="O374" s="99"/>
      <c r="P374" s="99"/>
      <c r="Q374" s="99"/>
      <c r="R374" s="99"/>
      <c r="S374" s="99"/>
      <c r="T374" s="99"/>
      <c r="U374" s="99"/>
      <c r="V374" s="99"/>
      <c r="W374" s="99"/>
      <c r="X374" s="99"/>
      <c r="Y374" s="99"/>
      <c r="Z374" s="99"/>
      <c r="AA374" s="99"/>
      <c r="AB374" s="99"/>
      <c r="AC374" s="95" t="str">
        <f t="shared" si="1"/>
        <v/>
      </c>
    </row>
    <row r="375" ht="15.75" customHeight="1">
      <c r="N375" s="99"/>
      <c r="O375" s="99"/>
      <c r="P375" s="99"/>
      <c r="Q375" s="99"/>
      <c r="R375" s="99"/>
      <c r="S375" s="99"/>
      <c r="T375" s="99"/>
      <c r="U375" s="99"/>
      <c r="V375" s="99"/>
      <c r="W375" s="99"/>
      <c r="X375" s="99"/>
      <c r="Y375" s="99"/>
      <c r="Z375" s="99"/>
      <c r="AA375" s="99"/>
      <c r="AB375" s="99"/>
      <c r="AC375" s="95" t="str">
        <f t="shared" si="1"/>
        <v/>
      </c>
    </row>
    <row r="376" ht="15.75" customHeight="1">
      <c r="N376" s="99"/>
      <c r="O376" s="99"/>
      <c r="P376" s="99"/>
      <c r="Q376" s="99"/>
      <c r="R376" s="99"/>
      <c r="S376" s="99"/>
      <c r="T376" s="99"/>
      <c r="U376" s="99"/>
      <c r="V376" s="99"/>
      <c r="W376" s="99"/>
      <c r="X376" s="99"/>
      <c r="Y376" s="99"/>
      <c r="Z376" s="99"/>
      <c r="AA376" s="99"/>
      <c r="AB376" s="99"/>
      <c r="AC376" s="95" t="str">
        <f t="shared" si="1"/>
        <v/>
      </c>
    </row>
    <row r="377" ht="15.75" customHeight="1">
      <c r="N377" s="99"/>
      <c r="O377" s="99"/>
      <c r="P377" s="99"/>
      <c r="Q377" s="99"/>
      <c r="R377" s="99"/>
      <c r="S377" s="99"/>
      <c r="T377" s="99"/>
      <c r="U377" s="99"/>
      <c r="V377" s="99"/>
      <c r="W377" s="99"/>
      <c r="X377" s="99"/>
      <c r="Y377" s="99"/>
      <c r="Z377" s="99"/>
      <c r="AA377" s="99"/>
      <c r="AB377" s="99"/>
      <c r="AC377" s="95" t="str">
        <f t="shared" si="1"/>
        <v/>
      </c>
    </row>
    <row r="378" ht="15.75" customHeight="1">
      <c r="N378" s="99"/>
      <c r="O378" s="99"/>
      <c r="P378" s="99"/>
      <c r="Q378" s="99"/>
      <c r="R378" s="99"/>
      <c r="S378" s="99"/>
      <c r="T378" s="99"/>
      <c r="U378" s="99"/>
      <c r="V378" s="99"/>
      <c r="W378" s="99"/>
      <c r="X378" s="99"/>
      <c r="Y378" s="99"/>
      <c r="Z378" s="99"/>
      <c r="AA378" s="99"/>
      <c r="AB378" s="99"/>
      <c r="AC378" s="95" t="str">
        <f t="shared" si="1"/>
        <v/>
      </c>
    </row>
    <row r="379" ht="15.75" customHeight="1">
      <c r="N379" s="99"/>
      <c r="O379" s="99"/>
      <c r="P379" s="99"/>
      <c r="Q379" s="99"/>
      <c r="R379" s="99"/>
      <c r="S379" s="99"/>
      <c r="T379" s="99"/>
      <c r="U379" s="99"/>
      <c r="V379" s="99"/>
      <c r="W379" s="99"/>
      <c r="X379" s="99"/>
      <c r="Y379" s="99"/>
      <c r="Z379" s="99"/>
      <c r="AA379" s="99"/>
      <c r="AB379" s="99"/>
      <c r="AC379" s="95" t="str">
        <f t="shared" si="1"/>
        <v/>
      </c>
    </row>
    <row r="380" ht="15.75" customHeight="1">
      <c r="N380" s="99"/>
      <c r="O380" s="99"/>
      <c r="P380" s="99"/>
      <c r="Q380" s="99"/>
      <c r="R380" s="99"/>
      <c r="S380" s="99"/>
      <c r="T380" s="99"/>
      <c r="U380" s="99"/>
      <c r="V380" s="99"/>
      <c r="W380" s="99"/>
      <c r="X380" s="99"/>
      <c r="Y380" s="99"/>
      <c r="Z380" s="99"/>
      <c r="AA380" s="99"/>
      <c r="AB380" s="99"/>
      <c r="AC380" s="95" t="str">
        <f t="shared" si="1"/>
        <v/>
      </c>
    </row>
    <row r="381" ht="15.75" customHeight="1">
      <c r="N381" s="99"/>
      <c r="O381" s="99"/>
      <c r="P381" s="99"/>
      <c r="Q381" s="99"/>
      <c r="R381" s="99"/>
      <c r="S381" s="99"/>
      <c r="T381" s="99"/>
      <c r="U381" s="99"/>
      <c r="V381" s="99"/>
      <c r="W381" s="99"/>
      <c r="X381" s="99"/>
      <c r="Y381" s="99"/>
      <c r="Z381" s="99"/>
      <c r="AA381" s="99"/>
      <c r="AB381" s="99"/>
      <c r="AC381" s="95" t="str">
        <f t="shared" si="1"/>
        <v/>
      </c>
    </row>
    <row r="382" ht="15.75" customHeight="1">
      <c r="N382" s="99"/>
      <c r="O382" s="99"/>
      <c r="P382" s="99"/>
      <c r="Q382" s="99"/>
      <c r="R382" s="99"/>
      <c r="S382" s="99"/>
      <c r="T382" s="99"/>
      <c r="U382" s="99"/>
      <c r="V382" s="99"/>
      <c r="W382" s="99"/>
      <c r="X382" s="99"/>
      <c r="Y382" s="99"/>
      <c r="Z382" s="99"/>
      <c r="AA382" s="99"/>
      <c r="AB382" s="99"/>
      <c r="AC382" s="95" t="str">
        <f t="shared" si="1"/>
        <v/>
      </c>
    </row>
    <row r="383" ht="15.75" customHeight="1">
      <c r="N383" s="99"/>
      <c r="O383" s="99"/>
      <c r="P383" s="99"/>
      <c r="Q383" s="99"/>
      <c r="R383" s="99"/>
      <c r="S383" s="99"/>
      <c r="T383" s="99"/>
      <c r="U383" s="99"/>
      <c r="V383" s="99"/>
      <c r="W383" s="99"/>
      <c r="X383" s="99"/>
      <c r="Y383" s="99"/>
      <c r="Z383" s="99"/>
      <c r="AA383" s="99"/>
      <c r="AB383" s="99"/>
      <c r="AC383" s="95" t="str">
        <f t="shared" si="1"/>
        <v/>
      </c>
    </row>
    <row r="384" ht="15.75" customHeight="1">
      <c r="N384" s="99"/>
      <c r="O384" s="99"/>
      <c r="P384" s="99"/>
      <c r="Q384" s="99"/>
      <c r="R384" s="99"/>
      <c r="S384" s="99"/>
      <c r="T384" s="99"/>
      <c r="U384" s="99"/>
      <c r="V384" s="99"/>
      <c r="W384" s="99"/>
      <c r="X384" s="99"/>
      <c r="Y384" s="99"/>
      <c r="Z384" s="99"/>
      <c r="AA384" s="99"/>
      <c r="AB384" s="99"/>
      <c r="AC384" s="95" t="str">
        <f t="shared" si="1"/>
        <v/>
      </c>
    </row>
    <row r="385" ht="15.75" customHeight="1">
      <c r="N385" s="99"/>
      <c r="O385" s="99"/>
      <c r="P385" s="99"/>
      <c r="Q385" s="99"/>
      <c r="R385" s="99"/>
      <c r="S385" s="99"/>
      <c r="T385" s="99"/>
      <c r="U385" s="99"/>
      <c r="V385" s="99"/>
      <c r="W385" s="99"/>
      <c r="X385" s="99"/>
      <c r="Y385" s="99"/>
      <c r="Z385" s="99"/>
      <c r="AA385" s="99"/>
      <c r="AB385" s="99"/>
      <c r="AC385" s="95" t="str">
        <f t="shared" si="1"/>
        <v/>
      </c>
    </row>
    <row r="386" ht="15.75" customHeight="1">
      <c r="N386" s="99"/>
      <c r="O386" s="99"/>
      <c r="P386" s="99"/>
      <c r="Q386" s="99"/>
      <c r="R386" s="99"/>
      <c r="S386" s="99"/>
      <c r="T386" s="99"/>
      <c r="U386" s="99"/>
      <c r="V386" s="99"/>
      <c r="W386" s="99"/>
      <c r="X386" s="99"/>
      <c r="Y386" s="99"/>
      <c r="Z386" s="99"/>
      <c r="AA386" s="99"/>
      <c r="AB386" s="99"/>
      <c r="AC386" s="95" t="str">
        <f t="shared" si="1"/>
        <v/>
      </c>
    </row>
    <row r="387" ht="15.75" customHeight="1">
      <c r="N387" s="99"/>
      <c r="O387" s="99"/>
      <c r="P387" s="99"/>
      <c r="Q387" s="99"/>
      <c r="R387" s="99"/>
      <c r="S387" s="99"/>
      <c r="T387" s="99"/>
      <c r="U387" s="99"/>
      <c r="V387" s="99"/>
      <c r="W387" s="99"/>
      <c r="X387" s="99"/>
      <c r="Y387" s="99"/>
      <c r="Z387" s="99"/>
      <c r="AA387" s="99"/>
      <c r="AB387" s="99"/>
      <c r="AC387" s="95" t="str">
        <f t="shared" si="1"/>
        <v/>
      </c>
    </row>
    <row r="388" ht="15.75" customHeight="1">
      <c r="N388" s="99"/>
      <c r="O388" s="99"/>
      <c r="P388" s="99"/>
      <c r="Q388" s="99"/>
      <c r="R388" s="99"/>
      <c r="S388" s="99"/>
      <c r="T388" s="99"/>
      <c r="U388" s="99"/>
      <c r="V388" s="99"/>
      <c r="W388" s="99"/>
      <c r="X388" s="99"/>
      <c r="Y388" s="99"/>
      <c r="Z388" s="99"/>
      <c r="AA388" s="99"/>
      <c r="AB388" s="99"/>
      <c r="AC388" s="95" t="str">
        <f t="shared" si="1"/>
        <v/>
      </c>
    </row>
    <row r="389" ht="15.75" customHeight="1">
      <c r="N389" s="99"/>
      <c r="O389" s="99"/>
      <c r="P389" s="99"/>
      <c r="Q389" s="99"/>
      <c r="R389" s="99"/>
      <c r="S389" s="99"/>
      <c r="T389" s="99"/>
      <c r="U389" s="99"/>
      <c r="V389" s="99"/>
      <c r="W389" s="99"/>
      <c r="X389" s="99"/>
      <c r="Y389" s="99"/>
      <c r="Z389" s="99"/>
      <c r="AA389" s="99"/>
      <c r="AB389" s="99"/>
      <c r="AC389" s="95" t="str">
        <f t="shared" si="1"/>
        <v/>
      </c>
    </row>
    <row r="390" ht="15.75" customHeight="1">
      <c r="N390" s="99"/>
      <c r="O390" s="99"/>
      <c r="P390" s="99"/>
      <c r="Q390" s="99"/>
      <c r="R390" s="99"/>
      <c r="S390" s="99"/>
      <c r="T390" s="99"/>
      <c r="U390" s="99"/>
      <c r="V390" s="99"/>
      <c r="W390" s="99"/>
      <c r="X390" s="99"/>
      <c r="Y390" s="99"/>
      <c r="Z390" s="99"/>
      <c r="AA390" s="99"/>
      <c r="AB390" s="99"/>
      <c r="AC390" s="95" t="str">
        <f t="shared" si="1"/>
        <v/>
      </c>
    </row>
    <row r="391" ht="15.75" customHeight="1">
      <c r="N391" s="99"/>
      <c r="O391" s="99"/>
      <c r="P391" s="99"/>
      <c r="Q391" s="99"/>
      <c r="R391" s="99"/>
      <c r="S391" s="99"/>
      <c r="T391" s="99"/>
      <c r="U391" s="99"/>
      <c r="V391" s="99"/>
      <c r="W391" s="99"/>
      <c r="X391" s="99"/>
      <c r="Y391" s="99"/>
      <c r="Z391" s="99"/>
      <c r="AA391" s="99"/>
      <c r="AB391" s="99"/>
      <c r="AC391" s="95" t="str">
        <f t="shared" si="1"/>
        <v/>
      </c>
    </row>
    <row r="392" ht="15.75" customHeight="1">
      <c r="N392" s="99"/>
      <c r="O392" s="99"/>
      <c r="P392" s="99"/>
      <c r="Q392" s="99"/>
      <c r="R392" s="99"/>
      <c r="S392" s="99"/>
      <c r="T392" s="99"/>
      <c r="U392" s="99"/>
      <c r="V392" s="99"/>
      <c r="W392" s="99"/>
      <c r="X392" s="99"/>
      <c r="Y392" s="99"/>
      <c r="Z392" s="99"/>
      <c r="AA392" s="99"/>
      <c r="AB392" s="99"/>
      <c r="AC392" s="95" t="str">
        <f t="shared" si="1"/>
        <v/>
      </c>
    </row>
    <row r="393" ht="15.75" customHeight="1">
      <c r="N393" s="99"/>
      <c r="O393" s="99"/>
      <c r="P393" s="99"/>
      <c r="Q393" s="99"/>
      <c r="R393" s="99"/>
      <c r="S393" s="99"/>
      <c r="T393" s="99"/>
      <c r="U393" s="99"/>
      <c r="V393" s="99"/>
      <c r="W393" s="99"/>
      <c r="X393" s="99"/>
      <c r="Y393" s="99"/>
      <c r="Z393" s="99"/>
      <c r="AA393" s="99"/>
      <c r="AB393" s="99"/>
      <c r="AC393" s="95" t="str">
        <f t="shared" si="1"/>
        <v/>
      </c>
    </row>
    <row r="394" ht="15.75" customHeight="1">
      <c r="N394" s="99"/>
      <c r="O394" s="99"/>
      <c r="P394" s="99"/>
      <c r="Q394" s="99"/>
      <c r="R394" s="99"/>
      <c r="S394" s="99"/>
      <c r="T394" s="99"/>
      <c r="U394" s="99"/>
      <c r="V394" s="99"/>
      <c r="W394" s="99"/>
      <c r="X394" s="99"/>
      <c r="Y394" s="99"/>
      <c r="Z394" s="99"/>
      <c r="AA394" s="99"/>
      <c r="AB394" s="99"/>
      <c r="AC394" s="95" t="str">
        <f t="shared" si="1"/>
        <v/>
      </c>
    </row>
    <row r="395" ht="15.75" customHeight="1">
      <c r="N395" s="99"/>
      <c r="O395" s="99"/>
      <c r="P395" s="99"/>
      <c r="Q395" s="99"/>
      <c r="R395" s="99"/>
      <c r="S395" s="99"/>
      <c r="T395" s="99"/>
      <c r="U395" s="99"/>
      <c r="V395" s="99"/>
      <c r="W395" s="99"/>
      <c r="X395" s="99"/>
      <c r="Y395" s="99"/>
      <c r="Z395" s="99"/>
      <c r="AA395" s="99"/>
      <c r="AB395" s="99"/>
      <c r="AC395" s="95" t="str">
        <f t="shared" si="1"/>
        <v/>
      </c>
    </row>
    <row r="396" ht="15.75" customHeight="1">
      <c r="N396" s="99"/>
      <c r="O396" s="99"/>
      <c r="P396" s="99"/>
      <c r="Q396" s="99"/>
      <c r="R396" s="99"/>
      <c r="S396" s="99"/>
      <c r="T396" s="99"/>
      <c r="U396" s="99"/>
      <c r="V396" s="99"/>
      <c r="W396" s="99"/>
      <c r="X396" s="99"/>
      <c r="Y396" s="99"/>
      <c r="Z396" s="99"/>
      <c r="AA396" s="99"/>
      <c r="AB396" s="99"/>
      <c r="AC396" s="95" t="str">
        <f t="shared" si="1"/>
        <v/>
      </c>
    </row>
    <row r="397" ht="15.75" customHeight="1">
      <c r="N397" s="99"/>
      <c r="O397" s="99"/>
      <c r="P397" s="99"/>
      <c r="Q397" s="99"/>
      <c r="R397" s="99"/>
      <c r="S397" s="99"/>
      <c r="T397" s="99"/>
      <c r="U397" s="99"/>
      <c r="V397" s="99"/>
      <c r="W397" s="99"/>
      <c r="X397" s="99"/>
      <c r="Y397" s="99"/>
      <c r="Z397" s="99"/>
      <c r="AA397" s="99"/>
      <c r="AB397" s="99"/>
      <c r="AC397" s="95" t="str">
        <f t="shared" si="1"/>
        <v/>
      </c>
    </row>
    <row r="398" ht="15.75" customHeight="1">
      <c r="N398" s="99"/>
      <c r="O398" s="99"/>
      <c r="P398" s="99"/>
      <c r="Q398" s="99"/>
      <c r="R398" s="99"/>
      <c r="S398" s="99"/>
      <c r="T398" s="99"/>
      <c r="U398" s="99"/>
      <c r="V398" s="99"/>
      <c r="W398" s="99"/>
      <c r="X398" s="99"/>
      <c r="Y398" s="99"/>
      <c r="Z398" s="99"/>
      <c r="AA398" s="99"/>
      <c r="AB398" s="99"/>
      <c r="AC398" s="95" t="str">
        <f t="shared" si="1"/>
        <v/>
      </c>
    </row>
    <row r="399" ht="15.75" customHeight="1">
      <c r="N399" s="99"/>
      <c r="O399" s="99"/>
      <c r="P399" s="99"/>
      <c r="Q399" s="99"/>
      <c r="R399" s="99"/>
      <c r="S399" s="99"/>
      <c r="T399" s="99"/>
      <c r="U399" s="99"/>
      <c r="V399" s="99"/>
      <c r="W399" s="99"/>
      <c r="X399" s="99"/>
      <c r="Y399" s="99"/>
      <c r="Z399" s="99"/>
      <c r="AA399" s="99"/>
      <c r="AB399" s="99"/>
      <c r="AC399" s="95" t="str">
        <f t="shared" si="1"/>
        <v/>
      </c>
    </row>
    <row r="400" ht="15.75" customHeight="1">
      <c r="N400" s="99"/>
      <c r="O400" s="99"/>
      <c r="P400" s="99"/>
      <c r="Q400" s="99"/>
      <c r="R400" s="99"/>
      <c r="S400" s="99"/>
      <c r="T400" s="99"/>
      <c r="U400" s="99"/>
      <c r="V400" s="99"/>
      <c r="W400" s="99"/>
      <c r="X400" s="99"/>
      <c r="Y400" s="99"/>
      <c r="Z400" s="99"/>
      <c r="AA400" s="99"/>
      <c r="AB400" s="99"/>
      <c r="AC400" s="95" t="str">
        <f t="shared" si="1"/>
        <v/>
      </c>
    </row>
    <row r="401" ht="15.75" customHeight="1">
      <c r="N401" s="99"/>
      <c r="O401" s="99"/>
      <c r="P401" s="99"/>
      <c r="Q401" s="99"/>
      <c r="R401" s="99"/>
      <c r="S401" s="99"/>
      <c r="T401" s="99"/>
      <c r="U401" s="99"/>
      <c r="V401" s="99"/>
      <c r="W401" s="99"/>
      <c r="X401" s="99"/>
      <c r="Y401" s="99"/>
      <c r="Z401" s="99"/>
      <c r="AA401" s="99"/>
      <c r="AB401" s="99"/>
      <c r="AC401" s="95" t="str">
        <f t="shared" si="1"/>
        <v/>
      </c>
    </row>
    <row r="402" ht="15.75" customHeight="1">
      <c r="N402" s="99"/>
      <c r="O402" s="99"/>
      <c r="P402" s="99"/>
      <c r="Q402" s="99"/>
      <c r="R402" s="99"/>
      <c r="S402" s="99"/>
      <c r="T402" s="99"/>
      <c r="U402" s="99"/>
      <c r="V402" s="99"/>
      <c r="W402" s="99"/>
      <c r="X402" s="99"/>
      <c r="Y402" s="99"/>
      <c r="Z402" s="99"/>
      <c r="AA402" s="99"/>
      <c r="AB402" s="99"/>
      <c r="AC402" s="95" t="str">
        <f t="shared" si="1"/>
        <v/>
      </c>
    </row>
    <row r="403" ht="15.75" customHeight="1">
      <c r="N403" s="99"/>
      <c r="O403" s="99"/>
      <c r="P403" s="99"/>
      <c r="Q403" s="99"/>
      <c r="R403" s="99"/>
      <c r="S403" s="99"/>
      <c r="T403" s="99"/>
      <c r="U403" s="99"/>
      <c r="V403" s="99"/>
      <c r="W403" s="99"/>
      <c r="X403" s="99"/>
      <c r="Y403" s="99"/>
      <c r="Z403" s="99"/>
      <c r="AA403" s="99"/>
      <c r="AB403" s="99"/>
      <c r="AC403" s="95" t="str">
        <f t="shared" si="1"/>
        <v/>
      </c>
    </row>
    <row r="404" ht="15.75" customHeight="1">
      <c r="N404" s="99"/>
      <c r="O404" s="99"/>
      <c r="P404" s="99"/>
      <c r="Q404" s="99"/>
      <c r="R404" s="99"/>
      <c r="S404" s="99"/>
      <c r="T404" s="99"/>
      <c r="U404" s="99"/>
      <c r="V404" s="99"/>
      <c r="W404" s="99"/>
      <c r="X404" s="99"/>
      <c r="Y404" s="99"/>
      <c r="Z404" s="99"/>
      <c r="AA404" s="99"/>
      <c r="AB404" s="99"/>
      <c r="AC404" s="95" t="str">
        <f t="shared" si="1"/>
        <v/>
      </c>
    </row>
    <row r="405" ht="15.75" customHeight="1">
      <c r="N405" s="99"/>
      <c r="O405" s="99"/>
      <c r="P405" s="99"/>
      <c r="Q405" s="99"/>
      <c r="R405" s="99"/>
      <c r="S405" s="99"/>
      <c r="T405" s="99"/>
      <c r="U405" s="99"/>
      <c r="V405" s="99"/>
      <c r="W405" s="99"/>
      <c r="X405" s="99"/>
      <c r="Y405" s="99"/>
      <c r="Z405" s="99"/>
      <c r="AA405" s="99"/>
      <c r="AB405" s="99"/>
      <c r="AC405" s="95" t="str">
        <f t="shared" si="1"/>
        <v/>
      </c>
    </row>
    <row r="406" ht="15.75" customHeight="1">
      <c r="N406" s="99"/>
      <c r="O406" s="99"/>
      <c r="P406" s="99"/>
      <c r="Q406" s="99"/>
      <c r="R406" s="99"/>
      <c r="S406" s="99"/>
      <c r="T406" s="99"/>
      <c r="U406" s="99"/>
      <c r="V406" s="99"/>
      <c r="W406" s="99"/>
      <c r="X406" s="99"/>
      <c r="Y406" s="99"/>
      <c r="Z406" s="99"/>
      <c r="AA406" s="99"/>
      <c r="AB406" s="99"/>
      <c r="AC406" s="95" t="str">
        <f t="shared" si="1"/>
        <v/>
      </c>
    </row>
    <row r="407" ht="15.75" customHeight="1">
      <c r="N407" s="99"/>
      <c r="O407" s="99"/>
      <c r="P407" s="99"/>
      <c r="Q407" s="99"/>
      <c r="R407" s="99"/>
      <c r="S407" s="99"/>
      <c r="T407" s="99"/>
      <c r="U407" s="99"/>
      <c r="V407" s="99"/>
      <c r="W407" s="99"/>
      <c r="X407" s="99"/>
      <c r="Y407" s="99"/>
      <c r="Z407" s="99"/>
      <c r="AA407" s="99"/>
      <c r="AB407" s="99"/>
      <c r="AC407" s="95" t="str">
        <f t="shared" si="1"/>
        <v/>
      </c>
    </row>
    <row r="408" ht="15.75" customHeight="1">
      <c r="N408" s="99"/>
      <c r="O408" s="99"/>
      <c r="P408" s="99"/>
      <c r="Q408" s="99"/>
      <c r="R408" s="99"/>
      <c r="S408" s="99"/>
      <c r="T408" s="99"/>
      <c r="U408" s="99"/>
      <c r="V408" s="99"/>
      <c r="W408" s="99"/>
      <c r="X408" s="99"/>
      <c r="Y408" s="99"/>
      <c r="Z408" s="99"/>
      <c r="AA408" s="99"/>
      <c r="AB408" s="99"/>
      <c r="AC408" s="95" t="str">
        <f t="shared" si="1"/>
        <v/>
      </c>
    </row>
    <row r="409" ht="15.75" customHeight="1">
      <c r="N409" s="99"/>
      <c r="O409" s="99"/>
      <c r="P409" s="99"/>
      <c r="Q409" s="99"/>
      <c r="R409" s="99"/>
      <c r="S409" s="99"/>
      <c r="T409" s="99"/>
      <c r="U409" s="99"/>
      <c r="V409" s="99"/>
      <c r="W409" s="99"/>
      <c r="X409" s="99"/>
      <c r="Y409" s="99"/>
      <c r="Z409" s="99"/>
      <c r="AA409" s="99"/>
      <c r="AB409" s="99"/>
      <c r="AC409" s="95" t="str">
        <f t="shared" si="1"/>
        <v/>
      </c>
    </row>
    <row r="410" ht="15.75" customHeight="1">
      <c r="N410" s="99"/>
      <c r="O410" s="99"/>
      <c r="P410" s="99"/>
      <c r="Q410" s="99"/>
      <c r="R410" s="99"/>
      <c r="S410" s="99"/>
      <c r="T410" s="99"/>
      <c r="U410" s="99"/>
      <c r="V410" s="99"/>
      <c r="W410" s="99"/>
      <c r="X410" s="99"/>
      <c r="Y410" s="99"/>
      <c r="Z410" s="99"/>
      <c r="AA410" s="99"/>
      <c r="AB410" s="99"/>
      <c r="AC410" s="95" t="str">
        <f t="shared" si="1"/>
        <v/>
      </c>
    </row>
    <row r="411" ht="15.75" customHeight="1">
      <c r="N411" s="99"/>
      <c r="O411" s="99"/>
      <c r="P411" s="99"/>
      <c r="Q411" s="99"/>
      <c r="R411" s="99"/>
      <c r="S411" s="99"/>
      <c r="T411" s="99"/>
      <c r="U411" s="99"/>
      <c r="V411" s="99"/>
      <c r="W411" s="99"/>
      <c r="X411" s="99"/>
      <c r="Y411" s="99"/>
      <c r="Z411" s="99"/>
      <c r="AA411" s="99"/>
      <c r="AB411" s="99"/>
      <c r="AC411" s="95" t="str">
        <f t="shared" si="1"/>
        <v/>
      </c>
    </row>
    <row r="412" ht="15.75" customHeight="1">
      <c r="N412" s="99"/>
      <c r="O412" s="99"/>
      <c r="P412" s="99"/>
      <c r="Q412" s="99"/>
      <c r="R412" s="99"/>
      <c r="S412" s="99"/>
      <c r="T412" s="99"/>
      <c r="U412" s="99"/>
      <c r="V412" s="99"/>
      <c r="W412" s="99"/>
      <c r="X412" s="99"/>
      <c r="Y412" s="99"/>
      <c r="Z412" s="99"/>
      <c r="AA412" s="99"/>
      <c r="AB412" s="99"/>
      <c r="AC412" s="95" t="str">
        <f t="shared" si="1"/>
        <v/>
      </c>
    </row>
    <row r="413" ht="15.75" customHeight="1">
      <c r="N413" s="99"/>
      <c r="O413" s="99"/>
      <c r="P413" s="99"/>
      <c r="Q413" s="99"/>
      <c r="R413" s="99"/>
      <c r="S413" s="99"/>
      <c r="T413" s="99"/>
      <c r="U413" s="99"/>
      <c r="V413" s="99"/>
      <c r="W413" s="99"/>
      <c r="X413" s="99"/>
      <c r="Y413" s="99"/>
      <c r="Z413" s="99"/>
      <c r="AA413" s="99"/>
      <c r="AB413" s="99"/>
      <c r="AC413" s="95" t="str">
        <f t="shared" si="1"/>
        <v/>
      </c>
    </row>
    <row r="414" ht="15.75" customHeight="1">
      <c r="N414" s="99"/>
      <c r="O414" s="99"/>
      <c r="P414" s="99"/>
      <c r="Q414" s="99"/>
      <c r="R414" s="99"/>
      <c r="S414" s="99"/>
      <c r="T414" s="99"/>
      <c r="U414" s="99"/>
      <c r="V414" s="99"/>
      <c r="W414" s="99"/>
      <c r="X414" s="99"/>
      <c r="Y414" s="99"/>
      <c r="Z414" s="99"/>
      <c r="AA414" s="99"/>
      <c r="AB414" s="99"/>
      <c r="AC414" s="95" t="str">
        <f t="shared" si="1"/>
        <v/>
      </c>
    </row>
    <row r="415" ht="15.75" customHeight="1">
      <c r="N415" s="99"/>
      <c r="O415" s="99"/>
      <c r="P415" s="99"/>
      <c r="Q415" s="99"/>
      <c r="R415" s="99"/>
      <c r="S415" s="99"/>
      <c r="T415" s="99"/>
      <c r="U415" s="99"/>
      <c r="V415" s="99"/>
      <c r="W415" s="99"/>
      <c r="X415" s="99"/>
      <c r="Y415" s="99"/>
      <c r="Z415" s="99"/>
      <c r="AA415" s="99"/>
      <c r="AB415" s="99"/>
      <c r="AC415" s="95" t="str">
        <f t="shared" si="1"/>
        <v/>
      </c>
    </row>
    <row r="416" ht="15.75" customHeight="1">
      <c r="N416" s="99"/>
      <c r="O416" s="99"/>
      <c r="P416" s="99"/>
      <c r="Q416" s="99"/>
      <c r="R416" s="99"/>
      <c r="S416" s="99"/>
      <c r="T416" s="99"/>
      <c r="U416" s="99"/>
      <c r="V416" s="99"/>
      <c r="W416" s="99"/>
      <c r="X416" s="99"/>
      <c r="Y416" s="99"/>
      <c r="Z416" s="99"/>
      <c r="AA416" s="99"/>
      <c r="AB416" s="99"/>
      <c r="AC416" s="95" t="str">
        <f t="shared" si="1"/>
        <v/>
      </c>
    </row>
    <row r="417" ht="15.75" customHeight="1">
      <c r="N417" s="99"/>
      <c r="O417" s="99"/>
      <c r="P417" s="99"/>
      <c r="Q417" s="99"/>
      <c r="R417" s="99"/>
      <c r="S417" s="99"/>
      <c r="T417" s="99"/>
      <c r="U417" s="99"/>
      <c r="V417" s="99"/>
      <c r="W417" s="99"/>
      <c r="X417" s="99"/>
      <c r="Y417" s="99"/>
      <c r="Z417" s="99"/>
      <c r="AA417" s="99"/>
      <c r="AB417" s="99"/>
      <c r="AC417" s="95" t="str">
        <f t="shared" si="1"/>
        <v/>
      </c>
    </row>
    <row r="418" ht="15.75" customHeight="1">
      <c r="N418" s="99"/>
      <c r="O418" s="99"/>
      <c r="P418" s="99"/>
      <c r="Q418" s="99"/>
      <c r="R418" s="99"/>
      <c r="S418" s="99"/>
      <c r="T418" s="99"/>
      <c r="U418" s="99"/>
      <c r="V418" s="99"/>
      <c r="W418" s="99"/>
      <c r="X418" s="99"/>
      <c r="Y418" s="99"/>
      <c r="Z418" s="99"/>
      <c r="AA418" s="99"/>
      <c r="AB418" s="99"/>
      <c r="AC418" s="95" t="str">
        <f t="shared" si="1"/>
        <v/>
      </c>
    </row>
    <row r="419" ht="15.75" customHeight="1">
      <c r="N419" s="99"/>
      <c r="O419" s="99"/>
      <c r="P419" s="99"/>
      <c r="Q419" s="99"/>
      <c r="R419" s="99"/>
      <c r="S419" s="99"/>
      <c r="T419" s="99"/>
      <c r="U419" s="99"/>
      <c r="V419" s="99"/>
      <c r="W419" s="99"/>
      <c r="X419" s="99"/>
      <c r="Y419" s="99"/>
      <c r="Z419" s="99"/>
      <c r="AA419" s="99"/>
      <c r="AB419" s="99"/>
      <c r="AC419" s="95" t="str">
        <f t="shared" si="1"/>
        <v/>
      </c>
    </row>
    <row r="420" ht="15.75" customHeight="1">
      <c r="N420" s="99"/>
      <c r="O420" s="99"/>
      <c r="P420" s="99"/>
      <c r="Q420" s="99"/>
      <c r="R420" s="99"/>
      <c r="S420" s="99"/>
      <c r="T420" s="99"/>
      <c r="U420" s="99"/>
      <c r="V420" s="99"/>
      <c r="W420" s="99"/>
      <c r="X420" s="99"/>
      <c r="Y420" s="99"/>
      <c r="Z420" s="99"/>
      <c r="AA420" s="99"/>
      <c r="AB420" s="99"/>
      <c r="AC420" s="95" t="str">
        <f t="shared" si="1"/>
        <v/>
      </c>
    </row>
    <row r="421" ht="15.75" customHeight="1">
      <c r="N421" s="99"/>
      <c r="O421" s="99"/>
      <c r="P421" s="99"/>
      <c r="Q421" s="99"/>
      <c r="R421" s="99"/>
      <c r="S421" s="99"/>
      <c r="T421" s="99"/>
      <c r="U421" s="99"/>
      <c r="V421" s="99"/>
      <c r="W421" s="99"/>
      <c r="X421" s="99"/>
      <c r="Y421" s="99"/>
      <c r="Z421" s="99"/>
      <c r="AA421" s="99"/>
      <c r="AB421" s="99"/>
      <c r="AC421" s="95" t="str">
        <f t="shared" si="1"/>
        <v/>
      </c>
    </row>
    <row r="422" ht="15.75" customHeight="1">
      <c r="N422" s="99"/>
      <c r="O422" s="99"/>
      <c r="P422" s="99"/>
      <c r="Q422" s="99"/>
      <c r="R422" s="99"/>
      <c r="S422" s="99"/>
      <c r="T422" s="99"/>
      <c r="U422" s="99"/>
      <c r="V422" s="99"/>
      <c r="W422" s="99"/>
      <c r="X422" s="99"/>
      <c r="Y422" s="99"/>
      <c r="Z422" s="99"/>
      <c r="AA422" s="99"/>
      <c r="AB422" s="99"/>
      <c r="AC422" s="95" t="str">
        <f t="shared" si="1"/>
        <v/>
      </c>
    </row>
    <row r="423" ht="15.75" customHeight="1">
      <c r="N423" s="99"/>
      <c r="O423" s="99"/>
      <c r="P423" s="99"/>
      <c r="Q423" s="99"/>
      <c r="R423" s="99"/>
      <c r="S423" s="99"/>
      <c r="T423" s="99"/>
      <c r="U423" s="99"/>
      <c r="V423" s="99"/>
      <c r="W423" s="99"/>
      <c r="X423" s="99"/>
      <c r="Y423" s="99"/>
      <c r="Z423" s="99"/>
      <c r="AA423" s="99"/>
      <c r="AB423" s="99"/>
      <c r="AC423" s="95" t="str">
        <f t="shared" si="1"/>
        <v/>
      </c>
    </row>
    <row r="424" ht="15.75" customHeight="1">
      <c r="N424" s="99"/>
      <c r="O424" s="99"/>
      <c r="P424" s="99"/>
      <c r="Q424" s="99"/>
      <c r="R424" s="99"/>
      <c r="S424" s="99"/>
      <c r="T424" s="99"/>
      <c r="U424" s="99"/>
      <c r="V424" s="99"/>
      <c r="W424" s="99"/>
      <c r="X424" s="99"/>
      <c r="Y424" s="99"/>
      <c r="Z424" s="99"/>
      <c r="AA424" s="99"/>
      <c r="AB424" s="99"/>
      <c r="AC424" s="95" t="str">
        <f t="shared" si="1"/>
        <v/>
      </c>
    </row>
    <row r="425" ht="15.75" customHeight="1">
      <c r="N425" s="99"/>
      <c r="O425" s="99"/>
      <c r="P425" s="99"/>
      <c r="Q425" s="99"/>
      <c r="R425" s="99"/>
      <c r="S425" s="99"/>
      <c r="T425" s="99"/>
      <c r="U425" s="99"/>
      <c r="V425" s="99"/>
      <c r="W425" s="99"/>
      <c r="X425" s="99"/>
      <c r="Y425" s="99"/>
      <c r="Z425" s="99"/>
      <c r="AA425" s="99"/>
      <c r="AB425" s="99"/>
      <c r="AC425" s="95" t="str">
        <f t="shared" si="1"/>
        <v/>
      </c>
    </row>
    <row r="426" ht="15.75" customHeight="1">
      <c r="N426" s="99"/>
      <c r="O426" s="99"/>
      <c r="P426" s="99"/>
      <c r="Q426" s="99"/>
      <c r="R426" s="99"/>
      <c r="S426" s="99"/>
      <c r="T426" s="99"/>
      <c r="U426" s="99"/>
      <c r="V426" s="99"/>
      <c r="W426" s="99"/>
      <c r="X426" s="99"/>
      <c r="Y426" s="99"/>
      <c r="Z426" s="99"/>
      <c r="AA426" s="99"/>
      <c r="AB426" s="99"/>
      <c r="AC426" s="95" t="str">
        <f t="shared" si="1"/>
        <v/>
      </c>
    </row>
    <row r="427" ht="15.75" customHeight="1">
      <c r="N427" s="99"/>
      <c r="O427" s="99"/>
      <c r="P427" s="99"/>
      <c r="Q427" s="99"/>
      <c r="R427" s="99"/>
      <c r="S427" s="99"/>
      <c r="T427" s="99"/>
      <c r="U427" s="99"/>
      <c r="V427" s="99"/>
      <c r="W427" s="99"/>
      <c r="X427" s="99"/>
      <c r="Y427" s="99"/>
      <c r="Z427" s="99"/>
      <c r="AA427" s="99"/>
      <c r="AB427" s="99"/>
      <c r="AC427" s="95" t="str">
        <f t="shared" si="1"/>
        <v/>
      </c>
    </row>
    <row r="428" ht="15.75" customHeight="1">
      <c r="N428" s="99"/>
      <c r="O428" s="99"/>
      <c r="P428" s="99"/>
      <c r="Q428" s="99"/>
      <c r="R428" s="99"/>
      <c r="S428" s="99"/>
      <c r="T428" s="99"/>
      <c r="U428" s="99"/>
      <c r="V428" s="99"/>
      <c r="W428" s="99"/>
      <c r="X428" s="99"/>
      <c r="Y428" s="99"/>
      <c r="Z428" s="99"/>
      <c r="AA428" s="99"/>
      <c r="AB428" s="99"/>
      <c r="AC428" s="95" t="str">
        <f t="shared" si="1"/>
        <v/>
      </c>
    </row>
    <row r="429" ht="15.75" customHeight="1">
      <c r="N429" s="99"/>
      <c r="O429" s="99"/>
      <c r="P429" s="99"/>
      <c r="Q429" s="99"/>
      <c r="R429" s="99"/>
      <c r="S429" s="99"/>
      <c r="T429" s="99"/>
      <c r="U429" s="99"/>
      <c r="V429" s="99"/>
      <c r="W429" s="99"/>
      <c r="X429" s="99"/>
      <c r="Y429" s="99"/>
      <c r="Z429" s="99"/>
      <c r="AA429" s="99"/>
      <c r="AB429" s="99"/>
      <c r="AC429" s="95" t="str">
        <f t="shared" si="1"/>
        <v/>
      </c>
    </row>
    <row r="430" ht="15.75" customHeight="1">
      <c r="N430" s="99"/>
      <c r="O430" s="99"/>
      <c r="P430" s="99"/>
      <c r="Q430" s="99"/>
      <c r="R430" s="99"/>
      <c r="S430" s="99"/>
      <c r="T430" s="99"/>
      <c r="U430" s="99"/>
      <c r="V430" s="99"/>
      <c r="W430" s="99"/>
      <c r="X430" s="99"/>
      <c r="Y430" s="99"/>
      <c r="Z430" s="99"/>
      <c r="AA430" s="99"/>
      <c r="AB430" s="99"/>
      <c r="AC430" s="95" t="str">
        <f t="shared" si="1"/>
        <v/>
      </c>
    </row>
    <row r="431" ht="15.75" customHeight="1">
      <c r="N431" s="99"/>
      <c r="O431" s="99"/>
      <c r="P431" s="99"/>
      <c r="Q431" s="99"/>
      <c r="R431" s="99"/>
      <c r="S431" s="99"/>
      <c r="T431" s="99"/>
      <c r="U431" s="99"/>
      <c r="V431" s="99"/>
      <c r="W431" s="99"/>
      <c r="X431" s="99"/>
      <c r="Y431" s="99"/>
      <c r="Z431" s="99"/>
      <c r="AA431" s="99"/>
      <c r="AB431" s="99"/>
      <c r="AC431" s="95" t="str">
        <f t="shared" si="1"/>
        <v/>
      </c>
    </row>
    <row r="432" ht="15.75" customHeight="1">
      <c r="N432" s="99"/>
      <c r="O432" s="99"/>
      <c r="P432" s="99"/>
      <c r="Q432" s="99"/>
      <c r="R432" s="99"/>
      <c r="S432" s="99"/>
      <c r="T432" s="99"/>
      <c r="U432" s="99"/>
      <c r="V432" s="99"/>
      <c r="W432" s="99"/>
      <c r="X432" s="99"/>
      <c r="Y432" s="99"/>
      <c r="Z432" s="99"/>
      <c r="AA432" s="99"/>
      <c r="AB432" s="99"/>
      <c r="AC432" s="95" t="str">
        <f t="shared" si="1"/>
        <v/>
      </c>
    </row>
    <row r="433" ht="15.75" customHeight="1">
      <c r="N433" s="99"/>
      <c r="O433" s="99"/>
      <c r="P433" s="99"/>
      <c r="Q433" s="99"/>
      <c r="R433" s="99"/>
      <c r="S433" s="99"/>
      <c r="T433" s="99"/>
      <c r="U433" s="99"/>
      <c r="V433" s="99"/>
      <c r="W433" s="99"/>
      <c r="X433" s="99"/>
      <c r="Y433" s="99"/>
      <c r="Z433" s="99"/>
      <c r="AA433" s="99"/>
      <c r="AB433" s="99"/>
      <c r="AC433" s="95" t="str">
        <f t="shared" si="1"/>
        <v/>
      </c>
    </row>
    <row r="434" ht="15.75" customHeight="1">
      <c r="N434" s="99"/>
      <c r="O434" s="99"/>
      <c r="P434" s="99"/>
      <c r="Q434" s="99"/>
      <c r="R434" s="99"/>
      <c r="S434" s="99"/>
      <c r="T434" s="99"/>
      <c r="U434" s="99"/>
      <c r="V434" s="99"/>
      <c r="W434" s="99"/>
      <c r="X434" s="99"/>
      <c r="Y434" s="99"/>
      <c r="Z434" s="99"/>
      <c r="AA434" s="99"/>
      <c r="AB434" s="99"/>
      <c r="AC434" s="95" t="str">
        <f t="shared" si="1"/>
        <v/>
      </c>
    </row>
    <row r="435" ht="15.75" customHeight="1">
      <c r="N435" s="99"/>
      <c r="O435" s="99"/>
      <c r="P435" s="99"/>
      <c r="Q435" s="99"/>
      <c r="R435" s="99"/>
      <c r="S435" s="99"/>
      <c r="T435" s="99"/>
      <c r="U435" s="99"/>
      <c r="V435" s="99"/>
      <c r="W435" s="99"/>
      <c r="X435" s="99"/>
      <c r="Y435" s="99"/>
      <c r="Z435" s="99"/>
      <c r="AA435" s="99"/>
      <c r="AB435" s="99"/>
      <c r="AC435" s="95" t="str">
        <f t="shared" si="1"/>
        <v/>
      </c>
    </row>
    <row r="436" ht="15.75" customHeight="1">
      <c r="N436" s="99"/>
      <c r="O436" s="99"/>
      <c r="P436" s="99"/>
      <c r="Q436" s="99"/>
      <c r="R436" s="99"/>
      <c r="S436" s="99"/>
      <c r="T436" s="99"/>
      <c r="U436" s="99"/>
      <c r="V436" s="99"/>
      <c r="W436" s="99"/>
      <c r="X436" s="99"/>
      <c r="Y436" s="99"/>
      <c r="Z436" s="99"/>
      <c r="AA436" s="99"/>
      <c r="AB436" s="99"/>
      <c r="AC436" s="95" t="str">
        <f t="shared" si="1"/>
        <v/>
      </c>
    </row>
    <row r="437" ht="15.75" customHeight="1">
      <c r="N437" s="99"/>
      <c r="O437" s="99"/>
      <c r="P437" s="99"/>
      <c r="Q437" s="99"/>
      <c r="R437" s="99"/>
      <c r="S437" s="99"/>
      <c r="T437" s="99"/>
      <c r="U437" s="99"/>
      <c r="V437" s="99"/>
      <c r="W437" s="99"/>
      <c r="X437" s="99"/>
      <c r="Y437" s="99"/>
      <c r="Z437" s="99"/>
      <c r="AA437" s="99"/>
      <c r="AB437" s="99"/>
      <c r="AC437" s="95" t="str">
        <f t="shared" si="1"/>
        <v/>
      </c>
    </row>
    <row r="438" ht="15.75" customHeight="1">
      <c r="N438" s="99"/>
      <c r="O438" s="99"/>
      <c r="P438" s="99"/>
      <c r="Q438" s="99"/>
      <c r="R438" s="99"/>
      <c r="S438" s="99"/>
      <c r="T438" s="99"/>
      <c r="U438" s="99"/>
      <c r="V438" s="99"/>
      <c r="W438" s="99"/>
      <c r="X438" s="99"/>
      <c r="Y438" s="99"/>
      <c r="Z438" s="99"/>
      <c r="AA438" s="99"/>
      <c r="AB438" s="99"/>
      <c r="AC438" s="95" t="str">
        <f t="shared" si="1"/>
        <v/>
      </c>
    </row>
    <row r="439" ht="15.75" customHeight="1">
      <c r="N439" s="99"/>
      <c r="O439" s="99"/>
      <c r="P439" s="99"/>
      <c r="Q439" s="99"/>
      <c r="R439" s="99"/>
      <c r="S439" s="99"/>
      <c r="T439" s="99"/>
      <c r="U439" s="99"/>
      <c r="V439" s="99"/>
      <c r="W439" s="99"/>
      <c r="X439" s="99"/>
      <c r="Y439" s="99"/>
      <c r="Z439" s="99"/>
      <c r="AA439" s="99"/>
      <c r="AB439" s="99"/>
      <c r="AC439" s="95" t="str">
        <f t="shared" si="1"/>
        <v/>
      </c>
    </row>
    <row r="440" ht="15.75" customHeight="1">
      <c r="N440" s="99"/>
      <c r="O440" s="99"/>
      <c r="P440" s="99"/>
      <c r="Q440" s="99"/>
      <c r="R440" s="99"/>
      <c r="S440" s="99"/>
      <c r="T440" s="99"/>
      <c r="U440" s="99"/>
      <c r="V440" s="99"/>
      <c r="W440" s="99"/>
      <c r="X440" s="99"/>
      <c r="Y440" s="99"/>
      <c r="Z440" s="99"/>
      <c r="AA440" s="99"/>
      <c r="AB440" s="99"/>
      <c r="AC440" s="95" t="str">
        <f t="shared" si="1"/>
        <v/>
      </c>
    </row>
    <row r="441" ht="15.75" customHeight="1">
      <c r="N441" s="99"/>
      <c r="O441" s="99"/>
      <c r="P441" s="99"/>
      <c r="Q441" s="99"/>
      <c r="R441" s="99"/>
      <c r="S441" s="99"/>
      <c r="T441" s="99"/>
      <c r="U441" s="99"/>
      <c r="V441" s="99"/>
      <c r="W441" s="99"/>
      <c r="X441" s="99"/>
      <c r="Y441" s="99"/>
      <c r="Z441" s="99"/>
      <c r="AA441" s="99"/>
      <c r="AB441" s="99"/>
      <c r="AC441" s="95" t="str">
        <f t="shared" si="1"/>
        <v/>
      </c>
    </row>
    <row r="442" ht="15.75" customHeight="1">
      <c r="N442" s="99"/>
      <c r="O442" s="99"/>
      <c r="P442" s="99"/>
      <c r="Q442" s="99"/>
      <c r="R442" s="99"/>
      <c r="S442" s="99"/>
      <c r="T442" s="99"/>
      <c r="U442" s="99"/>
      <c r="V442" s="99"/>
      <c r="W442" s="99"/>
      <c r="X442" s="99"/>
      <c r="Y442" s="99"/>
      <c r="Z442" s="99"/>
      <c r="AA442" s="99"/>
      <c r="AB442" s="99"/>
      <c r="AC442" s="95" t="str">
        <f t="shared" si="1"/>
        <v/>
      </c>
    </row>
    <row r="443" ht="15.75" customHeight="1">
      <c r="N443" s="99"/>
      <c r="O443" s="99"/>
      <c r="P443" s="99"/>
      <c r="Q443" s="99"/>
      <c r="R443" s="99"/>
      <c r="S443" s="99"/>
      <c r="T443" s="99"/>
      <c r="U443" s="99"/>
      <c r="V443" s="99"/>
      <c r="W443" s="99"/>
      <c r="X443" s="99"/>
      <c r="Y443" s="99"/>
      <c r="Z443" s="99"/>
      <c r="AA443" s="99"/>
      <c r="AB443" s="99"/>
      <c r="AC443" s="95" t="str">
        <f t="shared" si="1"/>
        <v/>
      </c>
    </row>
    <row r="444" ht="15.75" customHeight="1">
      <c r="N444" s="99"/>
      <c r="O444" s="99"/>
      <c r="P444" s="99"/>
      <c r="Q444" s="99"/>
      <c r="R444" s="99"/>
      <c r="S444" s="99"/>
      <c r="T444" s="99"/>
      <c r="U444" s="99"/>
      <c r="V444" s="99"/>
      <c r="W444" s="99"/>
      <c r="X444" s="99"/>
      <c r="Y444" s="99"/>
      <c r="Z444" s="99"/>
      <c r="AA444" s="99"/>
      <c r="AB444" s="99"/>
      <c r="AC444" s="95" t="str">
        <f t="shared" si="1"/>
        <v/>
      </c>
    </row>
    <row r="445" ht="15.75" customHeight="1">
      <c r="N445" s="99"/>
      <c r="O445" s="99"/>
      <c r="P445" s="99"/>
      <c r="Q445" s="99"/>
      <c r="R445" s="99"/>
      <c r="S445" s="99"/>
      <c r="T445" s="99"/>
      <c r="U445" s="99"/>
      <c r="V445" s="99"/>
      <c r="W445" s="99"/>
      <c r="X445" s="99"/>
      <c r="Y445" s="99"/>
      <c r="Z445" s="99"/>
      <c r="AA445" s="99"/>
      <c r="AB445" s="99"/>
      <c r="AC445" s="95" t="str">
        <f t="shared" si="1"/>
        <v/>
      </c>
    </row>
    <row r="446" ht="15.75" customHeight="1">
      <c r="N446" s="99"/>
      <c r="O446" s="99"/>
      <c r="P446" s="99"/>
      <c r="Q446" s="99"/>
      <c r="R446" s="99"/>
      <c r="S446" s="99"/>
      <c r="T446" s="99"/>
      <c r="U446" s="99"/>
      <c r="V446" s="99"/>
      <c r="W446" s="99"/>
      <c r="X446" s="99"/>
      <c r="Y446" s="99"/>
      <c r="Z446" s="99"/>
      <c r="AA446" s="99"/>
      <c r="AB446" s="99"/>
      <c r="AC446" s="95" t="str">
        <f t="shared" si="1"/>
        <v/>
      </c>
    </row>
    <row r="447" ht="15.75" customHeight="1">
      <c r="N447" s="99"/>
      <c r="O447" s="99"/>
      <c r="P447" s="99"/>
      <c r="Q447" s="99"/>
      <c r="R447" s="99"/>
      <c r="S447" s="99"/>
      <c r="T447" s="99"/>
      <c r="U447" s="99"/>
      <c r="V447" s="99"/>
      <c r="W447" s="99"/>
      <c r="X447" s="99"/>
      <c r="Y447" s="99"/>
      <c r="Z447" s="99"/>
      <c r="AA447" s="99"/>
      <c r="AB447" s="99"/>
      <c r="AC447" s="95" t="str">
        <f t="shared" si="1"/>
        <v/>
      </c>
    </row>
    <row r="448" ht="15.75" customHeight="1">
      <c r="N448" s="99"/>
      <c r="O448" s="99"/>
      <c r="P448" s="99"/>
      <c r="Q448" s="99"/>
      <c r="R448" s="99"/>
      <c r="S448" s="99"/>
      <c r="T448" s="99"/>
      <c r="U448" s="99"/>
      <c r="V448" s="99"/>
      <c r="W448" s="99"/>
      <c r="X448" s="99"/>
      <c r="Y448" s="99"/>
      <c r="Z448" s="99"/>
      <c r="AA448" s="99"/>
      <c r="AB448" s="99"/>
      <c r="AC448" s="95" t="str">
        <f t="shared" si="1"/>
        <v/>
      </c>
    </row>
    <row r="449" ht="15.75" customHeight="1">
      <c r="N449" s="99"/>
      <c r="O449" s="99"/>
      <c r="P449" s="99"/>
      <c r="Q449" s="99"/>
      <c r="R449" s="99"/>
      <c r="S449" s="99"/>
      <c r="T449" s="99"/>
      <c r="U449" s="99"/>
      <c r="V449" s="99"/>
      <c r="W449" s="99"/>
      <c r="X449" s="99"/>
      <c r="Y449" s="99"/>
      <c r="Z449" s="99"/>
      <c r="AA449" s="99"/>
      <c r="AB449" s="99"/>
      <c r="AC449" s="95" t="str">
        <f t="shared" si="1"/>
        <v/>
      </c>
    </row>
    <row r="450" ht="15.75" customHeight="1">
      <c r="N450" s="99"/>
      <c r="O450" s="99"/>
      <c r="P450" s="99"/>
      <c r="Q450" s="99"/>
      <c r="R450" s="99"/>
      <c r="S450" s="99"/>
      <c r="T450" s="99"/>
      <c r="U450" s="99"/>
      <c r="V450" s="99"/>
      <c r="W450" s="99"/>
      <c r="X450" s="99"/>
      <c r="Y450" s="99"/>
      <c r="Z450" s="99"/>
      <c r="AA450" s="99"/>
      <c r="AB450" s="99"/>
      <c r="AC450" s="95" t="str">
        <f t="shared" si="1"/>
        <v/>
      </c>
    </row>
    <row r="451" ht="15.75" customHeight="1">
      <c r="N451" s="99"/>
      <c r="O451" s="99"/>
      <c r="P451" s="99"/>
      <c r="Q451" s="99"/>
      <c r="R451" s="99"/>
      <c r="S451" s="99"/>
      <c r="T451" s="99"/>
      <c r="U451" s="99"/>
      <c r="V451" s="99"/>
      <c r="W451" s="99"/>
      <c r="X451" s="99"/>
      <c r="Y451" s="99"/>
      <c r="Z451" s="99"/>
      <c r="AA451" s="99"/>
      <c r="AB451" s="99"/>
      <c r="AC451" s="95" t="str">
        <f t="shared" si="1"/>
        <v/>
      </c>
    </row>
    <row r="452" ht="15.75" customHeight="1">
      <c r="N452" s="99"/>
      <c r="O452" s="99"/>
      <c r="P452" s="99"/>
      <c r="Q452" s="99"/>
      <c r="R452" s="99"/>
      <c r="S452" s="99"/>
      <c r="T452" s="99"/>
      <c r="U452" s="99"/>
      <c r="V452" s="99"/>
      <c r="W452" s="99"/>
      <c r="X452" s="99"/>
      <c r="Y452" s="99"/>
      <c r="Z452" s="99"/>
      <c r="AA452" s="99"/>
      <c r="AB452" s="99"/>
      <c r="AC452" s="95" t="str">
        <f t="shared" si="1"/>
        <v/>
      </c>
    </row>
    <row r="453" ht="15.75" customHeight="1">
      <c r="N453" s="99"/>
      <c r="O453" s="99"/>
      <c r="P453" s="99"/>
      <c r="Q453" s="99"/>
      <c r="R453" s="99"/>
      <c r="S453" s="99"/>
      <c r="T453" s="99"/>
      <c r="U453" s="99"/>
      <c r="V453" s="99"/>
      <c r="W453" s="99"/>
      <c r="X453" s="99"/>
      <c r="Y453" s="99"/>
      <c r="Z453" s="99"/>
      <c r="AA453" s="99"/>
      <c r="AB453" s="99"/>
      <c r="AC453" s="95" t="str">
        <f t="shared" si="1"/>
        <v/>
      </c>
    </row>
    <row r="454" ht="15.75" customHeight="1">
      <c r="N454" s="99"/>
      <c r="O454" s="99"/>
      <c r="P454" s="99"/>
      <c r="Q454" s="99"/>
      <c r="R454" s="99"/>
      <c r="S454" s="99"/>
      <c r="T454" s="99"/>
      <c r="U454" s="99"/>
      <c r="V454" s="99"/>
      <c r="W454" s="99"/>
      <c r="X454" s="99"/>
      <c r="Y454" s="99"/>
      <c r="Z454" s="99"/>
      <c r="AA454" s="99"/>
      <c r="AB454" s="99"/>
      <c r="AC454" s="95" t="str">
        <f t="shared" si="1"/>
        <v/>
      </c>
    </row>
    <row r="455" ht="15.75" customHeight="1">
      <c r="N455" s="99"/>
      <c r="O455" s="99"/>
      <c r="P455" s="99"/>
      <c r="Q455" s="99"/>
      <c r="R455" s="99"/>
      <c r="S455" s="99"/>
      <c r="T455" s="99"/>
      <c r="U455" s="99"/>
      <c r="V455" s="99"/>
      <c r="W455" s="99"/>
      <c r="X455" s="99"/>
      <c r="Y455" s="99"/>
      <c r="Z455" s="99"/>
      <c r="AA455" s="99"/>
      <c r="AB455" s="99"/>
      <c r="AC455" s="95" t="str">
        <f t="shared" si="1"/>
        <v/>
      </c>
    </row>
    <row r="456" ht="15.75" customHeight="1">
      <c r="N456" s="99"/>
      <c r="O456" s="99"/>
      <c r="P456" s="99"/>
      <c r="Q456" s="99"/>
      <c r="R456" s="99"/>
      <c r="S456" s="99"/>
      <c r="T456" s="99"/>
      <c r="U456" s="99"/>
      <c r="V456" s="99"/>
      <c r="W456" s="99"/>
      <c r="X456" s="99"/>
      <c r="Y456" s="99"/>
      <c r="Z456" s="99"/>
      <c r="AA456" s="99"/>
      <c r="AB456" s="99"/>
      <c r="AC456" s="95" t="str">
        <f t="shared" si="1"/>
        <v/>
      </c>
    </row>
    <row r="457" ht="15.75" customHeight="1">
      <c r="N457" s="99"/>
      <c r="O457" s="99"/>
      <c r="P457" s="99"/>
      <c r="Q457" s="99"/>
      <c r="R457" s="99"/>
      <c r="S457" s="99"/>
      <c r="T457" s="99"/>
      <c r="U457" s="99"/>
      <c r="V457" s="99"/>
      <c r="W457" s="99"/>
      <c r="X457" s="99"/>
      <c r="Y457" s="99"/>
      <c r="Z457" s="99"/>
      <c r="AA457" s="99"/>
      <c r="AB457" s="99"/>
      <c r="AC457" s="95" t="str">
        <f t="shared" si="1"/>
        <v/>
      </c>
    </row>
    <row r="458" ht="15.75" customHeight="1">
      <c r="N458" s="99"/>
      <c r="O458" s="99"/>
      <c r="P458" s="99"/>
      <c r="Q458" s="99"/>
      <c r="R458" s="99"/>
      <c r="S458" s="99"/>
      <c r="T458" s="99"/>
      <c r="U458" s="99"/>
      <c r="V458" s="99"/>
      <c r="W458" s="99"/>
      <c r="X458" s="99"/>
      <c r="Y458" s="99"/>
      <c r="Z458" s="99"/>
      <c r="AA458" s="99"/>
      <c r="AB458" s="99"/>
      <c r="AC458" s="95" t="str">
        <f t="shared" si="1"/>
        <v/>
      </c>
    </row>
    <row r="459" ht="15.75" customHeight="1">
      <c r="N459" s="99"/>
      <c r="O459" s="99"/>
      <c r="P459" s="99"/>
      <c r="Q459" s="99"/>
      <c r="R459" s="99"/>
      <c r="S459" s="99"/>
      <c r="T459" s="99"/>
      <c r="U459" s="99"/>
      <c r="V459" s="99"/>
      <c r="W459" s="99"/>
      <c r="X459" s="99"/>
      <c r="Y459" s="99"/>
      <c r="Z459" s="99"/>
      <c r="AA459" s="99"/>
      <c r="AB459" s="99"/>
      <c r="AC459" s="95" t="str">
        <f t="shared" si="1"/>
        <v/>
      </c>
    </row>
    <row r="460" ht="15.75" customHeight="1">
      <c r="N460" s="99"/>
      <c r="O460" s="99"/>
      <c r="P460" s="99"/>
      <c r="Q460" s="99"/>
      <c r="R460" s="99"/>
      <c r="S460" s="99"/>
      <c r="T460" s="99"/>
      <c r="U460" s="99"/>
      <c r="V460" s="99"/>
      <c r="W460" s="99"/>
      <c r="X460" s="99"/>
      <c r="Y460" s="99"/>
      <c r="Z460" s="99"/>
      <c r="AA460" s="99"/>
      <c r="AB460" s="99"/>
      <c r="AC460" s="95" t="str">
        <f t="shared" si="1"/>
        <v/>
      </c>
    </row>
    <row r="461" ht="15.75" customHeight="1">
      <c r="N461" s="99"/>
      <c r="O461" s="99"/>
      <c r="P461" s="99"/>
      <c r="Q461" s="99"/>
      <c r="R461" s="99"/>
      <c r="S461" s="99"/>
      <c r="T461" s="99"/>
      <c r="U461" s="99"/>
      <c r="V461" s="99"/>
      <c r="W461" s="99"/>
      <c r="X461" s="99"/>
      <c r="Y461" s="99"/>
      <c r="Z461" s="99"/>
      <c r="AA461" s="99"/>
      <c r="AB461" s="99"/>
      <c r="AC461" s="95" t="str">
        <f t="shared" si="1"/>
        <v/>
      </c>
    </row>
    <row r="462" ht="15.75" customHeight="1">
      <c r="N462" s="99"/>
      <c r="O462" s="99"/>
      <c r="P462" s="99"/>
      <c r="Q462" s="99"/>
      <c r="R462" s="99"/>
      <c r="S462" s="99"/>
      <c r="T462" s="99"/>
      <c r="U462" s="99"/>
      <c r="V462" s="99"/>
      <c r="W462" s="99"/>
      <c r="X462" s="99"/>
      <c r="Y462" s="99"/>
      <c r="Z462" s="99"/>
      <c r="AA462" s="99"/>
      <c r="AB462" s="99"/>
      <c r="AC462" s="95" t="str">
        <f t="shared" si="1"/>
        <v/>
      </c>
    </row>
    <row r="463" ht="15.75" customHeight="1">
      <c r="N463" s="99"/>
      <c r="O463" s="99"/>
      <c r="P463" s="99"/>
      <c r="Q463" s="99"/>
      <c r="R463" s="99"/>
      <c r="S463" s="99"/>
      <c r="T463" s="99"/>
      <c r="U463" s="99"/>
      <c r="V463" s="99"/>
      <c r="W463" s="99"/>
      <c r="X463" s="99"/>
      <c r="Y463" s="99"/>
      <c r="Z463" s="99"/>
      <c r="AA463" s="99"/>
      <c r="AB463" s="99"/>
      <c r="AC463" s="95" t="str">
        <f t="shared" si="1"/>
        <v/>
      </c>
    </row>
    <row r="464" ht="15.75" customHeight="1">
      <c r="N464" s="99"/>
      <c r="O464" s="99"/>
      <c r="P464" s="99"/>
      <c r="Q464" s="99"/>
      <c r="R464" s="99"/>
      <c r="S464" s="99"/>
      <c r="T464" s="99"/>
      <c r="U464" s="99"/>
      <c r="V464" s="99"/>
      <c r="W464" s="99"/>
      <c r="X464" s="99"/>
      <c r="Y464" s="99"/>
      <c r="Z464" s="99"/>
      <c r="AA464" s="99"/>
      <c r="AB464" s="99"/>
      <c r="AC464" s="95" t="str">
        <f t="shared" si="1"/>
        <v/>
      </c>
    </row>
    <row r="465" ht="15.75" customHeight="1">
      <c r="N465" s="99"/>
      <c r="O465" s="99"/>
      <c r="P465" s="99"/>
      <c r="Q465" s="99"/>
      <c r="R465" s="99"/>
      <c r="S465" s="99"/>
      <c r="T465" s="99"/>
      <c r="U465" s="99"/>
      <c r="V465" s="99"/>
      <c r="W465" s="99"/>
      <c r="X465" s="99"/>
      <c r="Y465" s="99"/>
      <c r="Z465" s="99"/>
      <c r="AA465" s="99"/>
      <c r="AB465" s="99"/>
      <c r="AC465" s="95" t="str">
        <f t="shared" si="1"/>
        <v/>
      </c>
    </row>
    <row r="466" ht="15.75" customHeight="1">
      <c r="N466" s="99"/>
      <c r="O466" s="99"/>
      <c r="P466" s="99"/>
      <c r="Q466" s="99"/>
      <c r="R466" s="99"/>
      <c r="S466" s="99"/>
      <c r="T466" s="99"/>
      <c r="U466" s="99"/>
      <c r="V466" s="99"/>
      <c r="W466" s="99"/>
      <c r="X466" s="99"/>
      <c r="Y466" s="99"/>
      <c r="Z466" s="99"/>
      <c r="AA466" s="99"/>
      <c r="AB466" s="99"/>
      <c r="AC466" s="95" t="str">
        <f t="shared" si="1"/>
        <v/>
      </c>
    </row>
    <row r="467" ht="15.75" customHeight="1">
      <c r="N467" s="99"/>
      <c r="O467" s="99"/>
      <c r="P467" s="99"/>
      <c r="Q467" s="99"/>
      <c r="R467" s="99"/>
      <c r="S467" s="99"/>
      <c r="T467" s="99"/>
      <c r="U467" s="99"/>
      <c r="V467" s="99"/>
      <c r="W467" s="99"/>
      <c r="X467" s="99"/>
      <c r="Y467" s="99"/>
      <c r="Z467" s="99"/>
      <c r="AA467" s="99"/>
      <c r="AB467" s="99"/>
      <c r="AC467" s="95" t="str">
        <f t="shared" si="1"/>
        <v/>
      </c>
    </row>
    <row r="468" ht="15.75" customHeight="1">
      <c r="N468" s="99"/>
      <c r="O468" s="99"/>
      <c r="P468" s="99"/>
      <c r="Q468" s="99"/>
      <c r="R468" s="99"/>
      <c r="S468" s="99"/>
      <c r="T468" s="99"/>
      <c r="U468" s="99"/>
      <c r="V468" s="99"/>
      <c r="W468" s="99"/>
      <c r="X468" s="99"/>
      <c r="Y468" s="99"/>
      <c r="Z468" s="99"/>
      <c r="AA468" s="99"/>
      <c r="AB468" s="99"/>
      <c r="AC468" s="95" t="str">
        <f t="shared" si="1"/>
        <v/>
      </c>
    </row>
    <row r="469" ht="15.75" customHeight="1">
      <c r="N469" s="99"/>
      <c r="O469" s="99"/>
      <c r="P469" s="99"/>
      <c r="Q469" s="99"/>
      <c r="R469" s="99"/>
      <c r="S469" s="99"/>
      <c r="T469" s="99"/>
      <c r="U469" s="99"/>
      <c r="V469" s="99"/>
      <c r="W469" s="99"/>
      <c r="X469" s="99"/>
      <c r="Y469" s="99"/>
      <c r="Z469" s="99"/>
      <c r="AA469" s="99"/>
      <c r="AB469" s="99"/>
      <c r="AC469" s="95" t="str">
        <f t="shared" si="1"/>
        <v/>
      </c>
    </row>
    <row r="470" ht="15.75" customHeight="1">
      <c r="N470" s="99"/>
      <c r="O470" s="99"/>
      <c r="P470" s="99"/>
      <c r="Q470" s="99"/>
      <c r="R470" s="99"/>
      <c r="S470" s="99"/>
      <c r="T470" s="99"/>
      <c r="U470" s="99"/>
      <c r="V470" s="99"/>
      <c r="W470" s="99"/>
      <c r="X470" s="99"/>
      <c r="Y470" s="99"/>
      <c r="Z470" s="99"/>
      <c r="AA470" s="99"/>
      <c r="AB470" s="99"/>
      <c r="AC470" s="95" t="str">
        <f t="shared" si="1"/>
        <v/>
      </c>
    </row>
    <row r="471" ht="15.75" customHeight="1">
      <c r="N471" s="99"/>
      <c r="O471" s="99"/>
      <c r="P471" s="99"/>
      <c r="Q471" s="99"/>
      <c r="R471" s="99"/>
      <c r="S471" s="99"/>
      <c r="T471" s="99"/>
      <c r="U471" s="99"/>
      <c r="V471" s="99"/>
      <c r="W471" s="99"/>
      <c r="X471" s="99"/>
      <c r="Y471" s="99"/>
      <c r="Z471" s="99"/>
      <c r="AA471" s="99"/>
      <c r="AB471" s="99"/>
      <c r="AC471" s="95" t="str">
        <f t="shared" si="1"/>
        <v/>
      </c>
    </row>
    <row r="472" ht="15.75" customHeight="1">
      <c r="N472" s="99"/>
      <c r="O472" s="99"/>
      <c r="P472" s="99"/>
      <c r="Q472" s="99"/>
      <c r="R472" s="99"/>
      <c r="S472" s="99"/>
      <c r="T472" s="99"/>
      <c r="U472" s="99"/>
      <c r="V472" s="99"/>
      <c r="W472" s="99"/>
      <c r="X472" s="99"/>
      <c r="Y472" s="99"/>
      <c r="Z472" s="99"/>
      <c r="AA472" s="99"/>
      <c r="AB472" s="99"/>
      <c r="AC472" s="95" t="str">
        <f t="shared" si="1"/>
        <v/>
      </c>
    </row>
    <row r="473" ht="15.75" customHeight="1">
      <c r="N473" s="99"/>
      <c r="O473" s="99"/>
      <c r="P473" s="99"/>
      <c r="Q473" s="99"/>
      <c r="R473" s="99"/>
      <c r="S473" s="99"/>
      <c r="T473" s="99"/>
      <c r="U473" s="99"/>
      <c r="V473" s="99"/>
      <c r="W473" s="99"/>
      <c r="X473" s="99"/>
      <c r="Y473" s="99"/>
      <c r="Z473" s="99"/>
      <c r="AA473" s="99"/>
      <c r="AB473" s="99"/>
      <c r="AC473" s="95" t="str">
        <f t="shared" si="1"/>
        <v/>
      </c>
    </row>
    <row r="474" ht="15.75" customHeight="1">
      <c r="N474" s="99"/>
      <c r="O474" s="99"/>
      <c r="P474" s="99"/>
      <c r="Q474" s="99"/>
      <c r="R474" s="99"/>
      <c r="S474" s="99"/>
      <c r="T474" s="99"/>
      <c r="U474" s="99"/>
      <c r="V474" s="99"/>
      <c r="W474" s="99"/>
      <c r="X474" s="99"/>
      <c r="Y474" s="99"/>
      <c r="Z474" s="99"/>
      <c r="AA474" s="99"/>
      <c r="AB474" s="99"/>
      <c r="AC474" s="95" t="str">
        <f t="shared" si="1"/>
        <v/>
      </c>
    </row>
    <row r="475" ht="15.75" customHeight="1">
      <c r="N475" s="99"/>
      <c r="O475" s="99"/>
      <c r="P475" s="99"/>
      <c r="Q475" s="99"/>
      <c r="R475" s="99"/>
      <c r="S475" s="99"/>
      <c r="T475" s="99"/>
      <c r="U475" s="99"/>
      <c r="V475" s="99"/>
      <c r="W475" s="99"/>
      <c r="X475" s="99"/>
      <c r="Y475" s="99"/>
      <c r="Z475" s="99"/>
      <c r="AA475" s="99"/>
      <c r="AB475" s="99"/>
      <c r="AC475" s="95" t="str">
        <f t="shared" si="1"/>
        <v/>
      </c>
    </row>
    <row r="476" ht="15.75" customHeight="1">
      <c r="N476" s="99"/>
      <c r="O476" s="99"/>
      <c r="P476" s="99"/>
      <c r="Q476" s="99"/>
      <c r="R476" s="99"/>
      <c r="S476" s="99"/>
      <c r="T476" s="99"/>
      <c r="U476" s="99"/>
      <c r="V476" s="99"/>
      <c r="W476" s="99"/>
      <c r="X476" s="99"/>
      <c r="Y476" s="99"/>
      <c r="Z476" s="99"/>
      <c r="AA476" s="99"/>
      <c r="AB476" s="99"/>
      <c r="AC476" s="95" t="str">
        <f t="shared" si="1"/>
        <v/>
      </c>
    </row>
    <row r="477" ht="15.75" customHeight="1">
      <c r="N477" s="99"/>
      <c r="O477" s="99"/>
      <c r="P477" s="99"/>
      <c r="Q477" s="99"/>
      <c r="R477" s="99"/>
      <c r="S477" s="99"/>
      <c r="T477" s="99"/>
      <c r="U477" s="99"/>
      <c r="V477" s="99"/>
      <c r="W477" s="99"/>
      <c r="X477" s="99"/>
      <c r="Y477" s="99"/>
      <c r="Z477" s="99"/>
      <c r="AA477" s="99"/>
      <c r="AB477" s="99"/>
      <c r="AC477" s="95" t="str">
        <f t="shared" si="1"/>
        <v/>
      </c>
    </row>
    <row r="478" ht="15.75" customHeight="1">
      <c r="N478" s="99"/>
      <c r="O478" s="99"/>
      <c r="P478" s="99"/>
      <c r="Q478" s="99"/>
      <c r="R478" s="99"/>
      <c r="S478" s="99"/>
      <c r="T478" s="99"/>
      <c r="U478" s="99"/>
      <c r="V478" s="99"/>
      <c r="W478" s="99"/>
      <c r="X478" s="99"/>
      <c r="Y478" s="99"/>
      <c r="Z478" s="99"/>
      <c r="AA478" s="99"/>
      <c r="AB478" s="99"/>
      <c r="AC478" s="95" t="str">
        <f t="shared" si="1"/>
        <v/>
      </c>
    </row>
    <row r="479" ht="15.75" customHeight="1">
      <c r="N479" s="99"/>
      <c r="O479" s="99"/>
      <c r="P479" s="99"/>
      <c r="Q479" s="99"/>
      <c r="R479" s="99"/>
      <c r="S479" s="99"/>
      <c r="T479" s="99"/>
      <c r="U479" s="99"/>
      <c r="V479" s="99"/>
      <c r="W479" s="99"/>
      <c r="X479" s="99"/>
      <c r="Y479" s="99"/>
      <c r="Z479" s="99"/>
      <c r="AA479" s="99"/>
      <c r="AB479" s="99"/>
      <c r="AC479" s="95" t="str">
        <f t="shared" si="1"/>
        <v/>
      </c>
    </row>
    <row r="480" ht="15.75" customHeight="1">
      <c r="N480" s="99"/>
      <c r="O480" s="99"/>
      <c r="P480" s="99"/>
      <c r="Q480" s="99"/>
      <c r="R480" s="99"/>
      <c r="S480" s="99"/>
      <c r="T480" s="99"/>
      <c r="U480" s="99"/>
      <c r="V480" s="99"/>
      <c r="W480" s="99"/>
      <c r="X480" s="99"/>
      <c r="Y480" s="99"/>
      <c r="Z480" s="99"/>
      <c r="AA480" s="99"/>
      <c r="AB480" s="99"/>
      <c r="AC480" s="95" t="str">
        <f t="shared" si="1"/>
        <v/>
      </c>
    </row>
    <row r="481" ht="15.75" customHeight="1">
      <c r="N481" s="99"/>
      <c r="O481" s="99"/>
      <c r="P481" s="99"/>
      <c r="Q481" s="99"/>
      <c r="R481" s="99"/>
      <c r="S481" s="99"/>
      <c r="T481" s="99"/>
      <c r="U481" s="99"/>
      <c r="V481" s="99"/>
      <c r="W481" s="99"/>
      <c r="X481" s="99"/>
      <c r="Y481" s="99"/>
      <c r="Z481" s="99"/>
      <c r="AA481" s="99"/>
      <c r="AB481" s="99"/>
      <c r="AC481" s="95" t="str">
        <f t="shared" si="1"/>
        <v/>
      </c>
    </row>
    <row r="482" ht="15.75" customHeight="1">
      <c r="N482" s="99"/>
      <c r="O482" s="99"/>
      <c r="P482" s="99"/>
      <c r="Q482" s="99"/>
      <c r="R482" s="99"/>
      <c r="S482" s="99"/>
      <c r="T482" s="99"/>
      <c r="U482" s="99"/>
      <c r="V482" s="99"/>
      <c r="W482" s="99"/>
      <c r="X482" s="99"/>
      <c r="Y482" s="99"/>
      <c r="Z482" s="99"/>
      <c r="AA482" s="99"/>
      <c r="AB482" s="99"/>
      <c r="AC482" s="95" t="str">
        <f t="shared" si="1"/>
        <v/>
      </c>
    </row>
    <row r="483" ht="15.75" customHeight="1">
      <c r="N483" s="99"/>
      <c r="O483" s="99"/>
      <c r="P483" s="99"/>
      <c r="Q483" s="99"/>
      <c r="R483" s="99"/>
      <c r="S483" s="99"/>
      <c r="T483" s="99"/>
      <c r="U483" s="99"/>
      <c r="V483" s="99"/>
      <c r="W483" s="99"/>
      <c r="X483" s="99"/>
      <c r="Y483" s="99"/>
      <c r="Z483" s="99"/>
      <c r="AA483" s="99"/>
      <c r="AB483" s="99"/>
      <c r="AC483" s="95" t="str">
        <f t="shared" si="1"/>
        <v/>
      </c>
    </row>
    <row r="484" ht="15.75" customHeight="1">
      <c r="N484" s="99"/>
      <c r="O484" s="99"/>
      <c r="P484" s="99"/>
      <c r="Q484" s="99"/>
      <c r="R484" s="99"/>
      <c r="S484" s="99"/>
      <c r="T484" s="99"/>
      <c r="U484" s="99"/>
      <c r="V484" s="99"/>
      <c r="W484" s="99"/>
      <c r="X484" s="99"/>
      <c r="Y484" s="99"/>
      <c r="Z484" s="99"/>
      <c r="AA484" s="99"/>
      <c r="AB484" s="99"/>
      <c r="AC484" s="95" t="str">
        <f t="shared" si="1"/>
        <v/>
      </c>
    </row>
    <row r="485" ht="15.75" customHeight="1">
      <c r="N485" s="99"/>
      <c r="O485" s="99"/>
      <c r="P485" s="99"/>
      <c r="Q485" s="99"/>
      <c r="R485" s="99"/>
      <c r="S485" s="99"/>
      <c r="T485" s="99"/>
      <c r="U485" s="99"/>
      <c r="V485" s="99"/>
      <c r="W485" s="99"/>
      <c r="X485" s="99"/>
      <c r="Y485" s="99"/>
      <c r="Z485" s="99"/>
      <c r="AA485" s="99"/>
      <c r="AB485" s="99"/>
      <c r="AC485" s="95" t="str">
        <f t="shared" si="1"/>
        <v/>
      </c>
    </row>
    <row r="486" ht="15.75" customHeight="1">
      <c r="N486" s="99"/>
      <c r="O486" s="99"/>
      <c r="P486" s="99"/>
      <c r="Q486" s="99"/>
      <c r="R486" s="99"/>
      <c r="S486" s="99"/>
      <c r="T486" s="99"/>
      <c r="U486" s="99"/>
      <c r="V486" s="99"/>
      <c r="W486" s="99"/>
      <c r="X486" s="99"/>
      <c r="Y486" s="99"/>
      <c r="Z486" s="99"/>
      <c r="AA486" s="99"/>
      <c r="AB486" s="99"/>
      <c r="AC486" s="95" t="str">
        <f t="shared" si="1"/>
        <v/>
      </c>
    </row>
    <row r="487" ht="15.75" customHeight="1">
      <c r="N487" s="99"/>
      <c r="O487" s="99"/>
      <c r="P487" s="99"/>
      <c r="Q487" s="99"/>
      <c r="R487" s="99"/>
      <c r="S487" s="99"/>
      <c r="T487" s="99"/>
      <c r="U487" s="99"/>
      <c r="V487" s="99"/>
      <c r="W487" s="99"/>
      <c r="X487" s="99"/>
      <c r="Y487" s="99"/>
      <c r="Z487" s="99"/>
      <c r="AA487" s="99"/>
      <c r="AB487" s="99"/>
      <c r="AC487" s="95" t="str">
        <f t="shared" si="1"/>
        <v/>
      </c>
    </row>
    <row r="488" ht="15.75" customHeight="1">
      <c r="N488" s="99"/>
      <c r="O488" s="99"/>
      <c r="P488" s="99"/>
      <c r="Q488" s="99"/>
      <c r="R488" s="99"/>
      <c r="S488" s="99"/>
      <c r="T488" s="99"/>
      <c r="U488" s="99"/>
      <c r="V488" s="99"/>
      <c r="W488" s="99"/>
      <c r="X488" s="99"/>
      <c r="Y488" s="99"/>
      <c r="Z488" s="99"/>
      <c r="AA488" s="99"/>
      <c r="AB488" s="99"/>
      <c r="AC488" s="95" t="str">
        <f t="shared" si="1"/>
        <v/>
      </c>
    </row>
    <row r="489" ht="15.75" customHeight="1">
      <c r="N489" s="99"/>
      <c r="O489" s="99"/>
      <c r="P489" s="99"/>
      <c r="Q489" s="99"/>
      <c r="R489" s="99"/>
      <c r="S489" s="99"/>
      <c r="T489" s="99"/>
      <c r="U489" s="99"/>
      <c r="V489" s="99"/>
      <c r="W489" s="99"/>
      <c r="X489" s="99"/>
      <c r="Y489" s="99"/>
      <c r="Z489" s="99"/>
      <c r="AA489" s="99"/>
      <c r="AB489" s="99"/>
      <c r="AC489" s="95" t="str">
        <f t="shared" si="1"/>
        <v/>
      </c>
    </row>
    <row r="490" ht="15.75" customHeight="1">
      <c r="N490" s="99"/>
      <c r="O490" s="99"/>
      <c r="P490" s="99"/>
      <c r="Q490" s="99"/>
      <c r="R490" s="99"/>
      <c r="S490" s="99"/>
      <c r="T490" s="99"/>
      <c r="U490" s="99"/>
      <c r="V490" s="99"/>
      <c r="W490" s="99"/>
      <c r="X490" s="99"/>
      <c r="Y490" s="99"/>
      <c r="Z490" s="99"/>
      <c r="AA490" s="99"/>
      <c r="AB490" s="99"/>
      <c r="AC490" s="95" t="str">
        <f t="shared" si="1"/>
        <v/>
      </c>
    </row>
    <row r="491" ht="15.75" customHeight="1">
      <c r="N491" s="99"/>
      <c r="O491" s="99"/>
      <c r="P491" s="99"/>
      <c r="Q491" s="99"/>
      <c r="R491" s="99"/>
      <c r="S491" s="99"/>
      <c r="T491" s="99"/>
      <c r="U491" s="99"/>
      <c r="V491" s="99"/>
      <c r="W491" s="99"/>
      <c r="X491" s="99"/>
      <c r="Y491" s="99"/>
      <c r="Z491" s="99"/>
      <c r="AA491" s="99"/>
      <c r="AB491" s="99"/>
      <c r="AC491" s="95" t="str">
        <f t="shared" si="1"/>
        <v/>
      </c>
    </row>
    <row r="492" ht="15.75" customHeight="1">
      <c r="N492" s="99"/>
      <c r="O492" s="99"/>
      <c r="P492" s="99"/>
      <c r="Q492" s="99"/>
      <c r="R492" s="99"/>
      <c r="S492" s="99"/>
      <c r="T492" s="99"/>
      <c r="U492" s="99"/>
      <c r="V492" s="99"/>
      <c r="W492" s="99"/>
      <c r="X492" s="99"/>
      <c r="Y492" s="99"/>
      <c r="Z492" s="99"/>
      <c r="AA492" s="99"/>
      <c r="AB492" s="99"/>
      <c r="AC492" s="95" t="str">
        <f t="shared" si="1"/>
        <v/>
      </c>
    </row>
    <row r="493" ht="15.75" customHeight="1">
      <c r="N493" s="99"/>
      <c r="O493" s="99"/>
      <c r="P493" s="99"/>
      <c r="Q493" s="99"/>
      <c r="R493" s="99"/>
      <c r="S493" s="99"/>
      <c r="T493" s="99"/>
      <c r="U493" s="99"/>
      <c r="V493" s="99"/>
      <c r="W493" s="99"/>
      <c r="X493" s="99"/>
      <c r="Y493" s="99"/>
      <c r="Z493" s="99"/>
      <c r="AA493" s="99"/>
      <c r="AB493" s="99"/>
      <c r="AC493" s="95" t="str">
        <f t="shared" si="1"/>
        <v/>
      </c>
    </row>
    <row r="494" ht="15.75" customHeight="1">
      <c r="N494" s="99"/>
      <c r="O494" s="99"/>
      <c r="P494" s="99"/>
      <c r="Q494" s="99"/>
      <c r="R494" s="99"/>
      <c r="S494" s="99"/>
      <c r="T494" s="99"/>
      <c r="U494" s="99"/>
      <c r="V494" s="99"/>
      <c r="W494" s="99"/>
      <c r="X494" s="99"/>
      <c r="Y494" s="99"/>
      <c r="Z494" s="99"/>
      <c r="AA494" s="99"/>
      <c r="AB494" s="99"/>
      <c r="AC494" s="95" t="str">
        <f t="shared" si="1"/>
        <v/>
      </c>
    </row>
    <row r="495" ht="15.75" customHeight="1">
      <c r="N495" s="99"/>
      <c r="O495" s="99"/>
      <c r="P495" s="99"/>
      <c r="Q495" s="99"/>
      <c r="R495" s="99"/>
      <c r="S495" s="99"/>
      <c r="T495" s="99"/>
      <c r="U495" s="99"/>
      <c r="V495" s="99"/>
      <c r="W495" s="99"/>
      <c r="X495" s="99"/>
      <c r="Y495" s="99"/>
      <c r="Z495" s="99"/>
      <c r="AA495" s="99"/>
      <c r="AB495" s="99"/>
      <c r="AC495" s="95" t="str">
        <f t="shared" si="1"/>
        <v/>
      </c>
    </row>
    <row r="496" ht="15.75" customHeight="1">
      <c r="N496" s="99"/>
      <c r="O496" s="99"/>
      <c r="P496" s="99"/>
      <c r="Q496" s="99"/>
      <c r="R496" s="99"/>
      <c r="S496" s="99"/>
      <c r="T496" s="99"/>
      <c r="U496" s="99"/>
      <c r="V496" s="99"/>
      <c r="W496" s="99"/>
      <c r="X496" s="99"/>
      <c r="Y496" s="99"/>
      <c r="Z496" s="99"/>
      <c r="AA496" s="99"/>
      <c r="AB496" s="99"/>
      <c r="AC496" s="95" t="str">
        <f t="shared" si="1"/>
        <v/>
      </c>
    </row>
    <row r="497" ht="15.75" customHeight="1">
      <c r="N497" s="99"/>
      <c r="O497" s="99"/>
      <c r="P497" s="99"/>
      <c r="Q497" s="99"/>
      <c r="R497" s="99"/>
      <c r="S497" s="99"/>
      <c r="T497" s="99"/>
      <c r="U497" s="99"/>
      <c r="V497" s="99"/>
      <c r="W497" s="99"/>
      <c r="X497" s="99"/>
      <c r="Y497" s="99"/>
      <c r="Z497" s="99"/>
      <c r="AA497" s="99"/>
      <c r="AB497" s="99"/>
      <c r="AC497" s="95" t="str">
        <f t="shared" si="1"/>
        <v/>
      </c>
    </row>
    <row r="498" ht="15.75" customHeight="1">
      <c r="N498" s="99"/>
      <c r="O498" s="99"/>
      <c r="P498" s="99"/>
      <c r="Q498" s="99"/>
      <c r="R498" s="99"/>
      <c r="S498" s="99"/>
      <c r="T498" s="99"/>
      <c r="U498" s="99"/>
      <c r="V498" s="99"/>
      <c r="W498" s="99"/>
      <c r="X498" s="99"/>
      <c r="Y498" s="99"/>
      <c r="Z498" s="99"/>
      <c r="AA498" s="99"/>
      <c r="AB498" s="99"/>
      <c r="AC498" s="95" t="str">
        <f t="shared" si="1"/>
        <v/>
      </c>
    </row>
    <row r="499" ht="15.75" customHeight="1">
      <c r="N499" s="99"/>
      <c r="O499" s="99"/>
      <c r="P499" s="99"/>
      <c r="Q499" s="99"/>
      <c r="R499" s="99"/>
      <c r="S499" s="99"/>
      <c r="T499" s="99"/>
      <c r="U499" s="99"/>
      <c r="V499" s="99"/>
      <c r="W499" s="99"/>
      <c r="X499" s="99"/>
      <c r="Y499" s="99"/>
      <c r="Z499" s="99"/>
      <c r="AA499" s="99"/>
      <c r="AB499" s="99"/>
      <c r="AC499" s="95" t="str">
        <f t="shared" si="1"/>
        <v/>
      </c>
    </row>
    <row r="500" ht="15.75" customHeight="1">
      <c r="N500" s="99"/>
      <c r="O500" s="99"/>
      <c r="P500" s="99"/>
      <c r="Q500" s="99"/>
      <c r="R500" s="99"/>
      <c r="S500" s="99"/>
      <c r="T500" s="99"/>
      <c r="U500" s="99"/>
      <c r="V500" s="99"/>
      <c r="W500" s="99"/>
      <c r="X500" s="99"/>
      <c r="Y500" s="99"/>
      <c r="Z500" s="99"/>
      <c r="AA500" s="99"/>
      <c r="AB500" s="99"/>
      <c r="AC500" s="95" t="str">
        <f t="shared" si="1"/>
        <v/>
      </c>
    </row>
    <row r="501" ht="15.75" customHeight="1">
      <c r="N501" s="99"/>
      <c r="O501" s="99"/>
      <c r="P501" s="99"/>
      <c r="Q501" s="99"/>
      <c r="R501" s="99"/>
      <c r="S501" s="99"/>
      <c r="T501" s="99"/>
      <c r="U501" s="99"/>
      <c r="V501" s="99"/>
      <c r="W501" s="99"/>
      <c r="X501" s="99"/>
      <c r="Y501" s="99"/>
      <c r="Z501" s="99"/>
      <c r="AA501" s="99"/>
      <c r="AB501" s="99"/>
      <c r="AC501" s="95" t="str">
        <f t="shared" si="1"/>
        <v/>
      </c>
    </row>
    <row r="502" ht="15.75" customHeight="1">
      <c r="N502" s="99"/>
      <c r="O502" s="99"/>
      <c r="P502" s="99"/>
      <c r="Q502" s="99"/>
      <c r="R502" s="99"/>
      <c r="S502" s="99"/>
      <c r="T502" s="99"/>
      <c r="U502" s="99"/>
      <c r="V502" s="99"/>
      <c r="W502" s="99"/>
      <c r="X502" s="99"/>
      <c r="Y502" s="99"/>
      <c r="Z502" s="99"/>
      <c r="AA502" s="99"/>
      <c r="AB502" s="99"/>
      <c r="AC502" s="95" t="str">
        <f t="shared" si="1"/>
        <v/>
      </c>
    </row>
    <row r="503" ht="15.75" customHeight="1">
      <c r="N503" s="99"/>
      <c r="O503" s="99"/>
      <c r="P503" s="99"/>
      <c r="Q503" s="99"/>
      <c r="R503" s="99"/>
      <c r="S503" s="99"/>
      <c r="T503" s="99"/>
      <c r="U503" s="99"/>
      <c r="V503" s="99"/>
      <c r="W503" s="99"/>
      <c r="X503" s="99"/>
      <c r="Y503" s="99"/>
      <c r="Z503" s="99"/>
      <c r="AA503" s="99"/>
      <c r="AB503" s="99"/>
      <c r="AC503" s="95" t="str">
        <f t="shared" si="1"/>
        <v/>
      </c>
    </row>
    <row r="504" ht="15.75" customHeight="1">
      <c r="N504" s="99"/>
      <c r="O504" s="99"/>
      <c r="P504" s="99"/>
      <c r="Q504" s="99"/>
      <c r="R504" s="99"/>
      <c r="S504" s="99"/>
      <c r="T504" s="99"/>
      <c r="U504" s="99"/>
      <c r="V504" s="99"/>
      <c r="W504" s="99"/>
      <c r="X504" s="99"/>
      <c r="Y504" s="99"/>
      <c r="Z504" s="99"/>
      <c r="AA504" s="99"/>
      <c r="AB504" s="99"/>
      <c r="AC504" s="95" t="str">
        <f t="shared" si="1"/>
        <v/>
      </c>
    </row>
    <row r="505" ht="15.75" customHeight="1">
      <c r="N505" s="99"/>
      <c r="O505" s="99"/>
      <c r="P505" s="99"/>
      <c r="Q505" s="99"/>
      <c r="R505" s="99"/>
      <c r="S505" s="99"/>
      <c r="T505" s="99"/>
      <c r="U505" s="99"/>
      <c r="V505" s="99"/>
      <c r="W505" s="99"/>
      <c r="X505" s="99"/>
      <c r="Y505" s="99"/>
      <c r="Z505" s="99"/>
      <c r="AA505" s="99"/>
      <c r="AB505" s="99"/>
      <c r="AC505" s="95" t="str">
        <f t="shared" si="1"/>
        <v/>
      </c>
    </row>
    <row r="506" ht="15.75" customHeight="1">
      <c r="N506" s="99"/>
      <c r="O506" s="99"/>
      <c r="P506" s="99"/>
      <c r="Q506" s="99"/>
      <c r="R506" s="99"/>
      <c r="S506" s="99"/>
      <c r="T506" s="99"/>
      <c r="U506" s="99"/>
      <c r="V506" s="99"/>
      <c r="W506" s="99"/>
      <c r="X506" s="99"/>
      <c r="Y506" s="99"/>
      <c r="Z506" s="99"/>
      <c r="AA506" s="99"/>
      <c r="AB506" s="99"/>
      <c r="AC506" s="95" t="str">
        <f t="shared" si="1"/>
        <v/>
      </c>
    </row>
    <row r="507" ht="15.75" customHeight="1">
      <c r="N507" s="99"/>
      <c r="O507" s="99"/>
      <c r="P507" s="99"/>
      <c r="Q507" s="99"/>
      <c r="R507" s="99"/>
      <c r="S507" s="99"/>
      <c r="T507" s="99"/>
      <c r="U507" s="99"/>
      <c r="V507" s="99"/>
      <c r="W507" s="99"/>
      <c r="X507" s="99"/>
      <c r="Y507" s="99"/>
      <c r="Z507" s="99"/>
      <c r="AA507" s="99"/>
      <c r="AB507" s="99"/>
      <c r="AC507" s="95" t="str">
        <f t="shared" si="1"/>
        <v/>
      </c>
    </row>
    <row r="508" ht="15.75" customHeight="1">
      <c r="N508" s="99"/>
      <c r="O508" s="99"/>
      <c r="P508" s="99"/>
      <c r="Q508" s="99"/>
      <c r="R508" s="99"/>
      <c r="S508" s="99"/>
      <c r="T508" s="99"/>
      <c r="U508" s="99"/>
      <c r="V508" s="99"/>
      <c r="W508" s="99"/>
      <c r="X508" s="99"/>
      <c r="Y508" s="99"/>
      <c r="Z508" s="99"/>
      <c r="AA508" s="99"/>
      <c r="AB508" s="99"/>
      <c r="AC508" s="95" t="str">
        <f t="shared" si="1"/>
        <v/>
      </c>
    </row>
    <row r="509" ht="15.75" customHeight="1">
      <c r="N509" s="99"/>
      <c r="O509" s="99"/>
      <c r="P509" s="99"/>
      <c r="Q509" s="99"/>
      <c r="R509" s="99"/>
      <c r="S509" s="99"/>
      <c r="T509" s="99"/>
      <c r="U509" s="99"/>
      <c r="V509" s="99"/>
      <c r="W509" s="99"/>
      <c r="X509" s="99"/>
      <c r="Y509" s="99"/>
      <c r="Z509" s="99"/>
      <c r="AA509" s="99"/>
      <c r="AB509" s="99"/>
      <c r="AC509" s="95" t="str">
        <f t="shared" si="1"/>
        <v/>
      </c>
    </row>
    <row r="510" ht="15.75" customHeight="1">
      <c r="N510" s="99"/>
      <c r="O510" s="99"/>
      <c r="P510" s="99"/>
      <c r="Q510" s="99"/>
      <c r="R510" s="99"/>
      <c r="S510" s="99"/>
      <c r="T510" s="99"/>
      <c r="U510" s="99"/>
      <c r="V510" s="99"/>
      <c r="W510" s="99"/>
      <c r="X510" s="99"/>
      <c r="Y510" s="99"/>
      <c r="Z510" s="99"/>
      <c r="AA510" s="99"/>
      <c r="AB510" s="99"/>
      <c r="AC510" s="95" t="str">
        <f t="shared" si="1"/>
        <v/>
      </c>
    </row>
    <row r="511" ht="15.75" customHeight="1">
      <c r="N511" s="99"/>
      <c r="O511" s="99"/>
      <c r="P511" s="99"/>
      <c r="Q511" s="99"/>
      <c r="R511" s="99"/>
      <c r="S511" s="99"/>
      <c r="T511" s="99"/>
      <c r="U511" s="99"/>
      <c r="V511" s="99"/>
      <c r="W511" s="99"/>
      <c r="X511" s="99"/>
      <c r="Y511" s="99"/>
      <c r="Z511" s="99"/>
      <c r="AA511" s="99"/>
      <c r="AB511" s="99"/>
      <c r="AC511" s="95" t="str">
        <f t="shared" si="1"/>
        <v/>
      </c>
    </row>
    <row r="512" ht="15.75" customHeight="1">
      <c r="N512" s="99"/>
      <c r="O512" s="99"/>
      <c r="P512" s="99"/>
      <c r="Q512" s="99"/>
      <c r="R512" s="99"/>
      <c r="S512" s="99"/>
      <c r="T512" s="99"/>
      <c r="U512" s="99"/>
      <c r="V512" s="99"/>
      <c r="W512" s="99"/>
      <c r="X512" s="99"/>
      <c r="Y512" s="99"/>
      <c r="Z512" s="99"/>
      <c r="AA512" s="99"/>
      <c r="AB512" s="99"/>
      <c r="AC512" s="95" t="str">
        <f t="shared" si="1"/>
        <v/>
      </c>
    </row>
    <row r="513" ht="15.75" customHeight="1">
      <c r="N513" s="99"/>
      <c r="O513" s="99"/>
      <c r="P513" s="99"/>
      <c r="Q513" s="99"/>
      <c r="R513" s="99"/>
      <c r="S513" s="99"/>
      <c r="T513" s="99"/>
      <c r="U513" s="99"/>
      <c r="V513" s="99"/>
      <c r="W513" s="99"/>
      <c r="X513" s="99"/>
      <c r="Y513" s="99"/>
      <c r="Z513" s="99"/>
      <c r="AA513" s="99"/>
      <c r="AB513" s="99"/>
      <c r="AC513" s="95" t="str">
        <f t="shared" si="1"/>
        <v/>
      </c>
    </row>
    <row r="514" ht="15.75" customHeight="1">
      <c r="N514" s="99"/>
      <c r="O514" s="99"/>
      <c r="P514" s="99"/>
      <c r="Q514" s="99"/>
      <c r="R514" s="99"/>
      <c r="S514" s="99"/>
      <c r="T514" s="99"/>
      <c r="U514" s="99"/>
      <c r="V514" s="99"/>
      <c r="W514" s="99"/>
      <c r="X514" s="99"/>
      <c r="Y514" s="99"/>
      <c r="Z514" s="99"/>
      <c r="AA514" s="99"/>
      <c r="AB514" s="99"/>
      <c r="AC514" s="95" t="str">
        <f t="shared" si="1"/>
        <v/>
      </c>
    </row>
    <row r="515" ht="15.75" customHeight="1">
      <c r="N515" s="99"/>
      <c r="O515" s="99"/>
      <c r="P515" s="99"/>
      <c r="Q515" s="99"/>
      <c r="R515" s="99"/>
      <c r="S515" s="99"/>
      <c r="T515" s="99"/>
      <c r="U515" s="99"/>
      <c r="V515" s="99"/>
      <c r="W515" s="99"/>
      <c r="X515" s="99"/>
      <c r="Y515" s="99"/>
      <c r="Z515" s="99"/>
      <c r="AA515" s="99"/>
      <c r="AB515" s="99"/>
      <c r="AC515" s="95" t="str">
        <f t="shared" si="1"/>
        <v/>
      </c>
    </row>
    <row r="516" ht="15.75" customHeight="1">
      <c r="N516" s="99"/>
      <c r="O516" s="99"/>
      <c r="P516" s="99"/>
      <c r="Q516" s="99"/>
      <c r="R516" s="99"/>
      <c r="S516" s="99"/>
      <c r="T516" s="99"/>
      <c r="U516" s="99"/>
      <c r="V516" s="99"/>
      <c r="W516" s="99"/>
      <c r="X516" s="99"/>
      <c r="Y516" s="99"/>
      <c r="Z516" s="99"/>
      <c r="AA516" s="99"/>
      <c r="AB516" s="99"/>
      <c r="AC516" s="95" t="str">
        <f t="shared" si="1"/>
        <v/>
      </c>
    </row>
    <row r="517" ht="15.75" customHeight="1">
      <c r="N517" s="99"/>
      <c r="O517" s="99"/>
      <c r="P517" s="99"/>
      <c r="Q517" s="99"/>
      <c r="R517" s="99"/>
      <c r="S517" s="99"/>
      <c r="T517" s="99"/>
      <c r="U517" s="99"/>
      <c r="V517" s="99"/>
      <c r="W517" s="99"/>
      <c r="X517" s="99"/>
      <c r="Y517" s="99"/>
      <c r="Z517" s="99"/>
      <c r="AA517" s="99"/>
      <c r="AB517" s="99"/>
      <c r="AC517" s="95" t="str">
        <f t="shared" si="1"/>
        <v/>
      </c>
    </row>
    <row r="518" ht="15.75" customHeight="1">
      <c r="N518" s="99"/>
      <c r="O518" s="99"/>
      <c r="P518" s="99"/>
      <c r="Q518" s="99"/>
      <c r="R518" s="99"/>
      <c r="S518" s="99"/>
      <c r="T518" s="99"/>
      <c r="U518" s="99"/>
      <c r="V518" s="99"/>
      <c r="W518" s="99"/>
      <c r="X518" s="99"/>
      <c r="Y518" s="99"/>
      <c r="Z518" s="99"/>
      <c r="AA518" s="99"/>
      <c r="AB518" s="99"/>
      <c r="AC518" s="95" t="str">
        <f t="shared" si="1"/>
        <v/>
      </c>
    </row>
    <row r="519" ht="15.75" customHeight="1">
      <c r="N519" s="99"/>
      <c r="O519" s="99"/>
      <c r="P519" s="99"/>
      <c r="Q519" s="99"/>
      <c r="R519" s="99"/>
      <c r="S519" s="99"/>
      <c r="T519" s="99"/>
      <c r="U519" s="99"/>
      <c r="V519" s="99"/>
      <c r="W519" s="99"/>
      <c r="X519" s="99"/>
      <c r="Y519" s="99"/>
      <c r="Z519" s="99"/>
      <c r="AA519" s="99"/>
      <c r="AB519" s="99"/>
      <c r="AC519" s="95" t="str">
        <f t="shared" si="1"/>
        <v/>
      </c>
    </row>
    <row r="520" ht="15.75" customHeight="1">
      <c r="N520" s="99"/>
      <c r="O520" s="99"/>
      <c r="P520" s="99"/>
      <c r="Q520" s="99"/>
      <c r="R520" s="99"/>
      <c r="S520" s="99"/>
      <c r="T520" s="99"/>
      <c r="U520" s="99"/>
      <c r="V520" s="99"/>
      <c r="W520" s="99"/>
      <c r="X520" s="99"/>
      <c r="Y520" s="99"/>
      <c r="Z520" s="99"/>
      <c r="AA520" s="99"/>
      <c r="AB520" s="99"/>
      <c r="AC520" s="95" t="str">
        <f t="shared" si="1"/>
        <v/>
      </c>
    </row>
    <row r="521" ht="15.75" customHeight="1">
      <c r="N521" s="99"/>
      <c r="O521" s="99"/>
      <c r="P521" s="99"/>
      <c r="Q521" s="99"/>
      <c r="R521" s="99"/>
      <c r="S521" s="99"/>
      <c r="T521" s="99"/>
      <c r="U521" s="99"/>
      <c r="V521" s="99"/>
      <c r="W521" s="99"/>
      <c r="X521" s="99"/>
      <c r="Y521" s="99"/>
      <c r="Z521" s="99"/>
      <c r="AA521" s="99"/>
      <c r="AB521" s="99"/>
      <c r="AC521" s="95" t="str">
        <f t="shared" si="1"/>
        <v/>
      </c>
    </row>
    <row r="522" ht="15.75" customHeight="1">
      <c r="N522" s="99"/>
      <c r="O522" s="99"/>
      <c r="P522" s="99"/>
      <c r="Q522" s="99"/>
      <c r="R522" s="99"/>
      <c r="S522" s="99"/>
      <c r="T522" s="99"/>
      <c r="U522" s="99"/>
      <c r="V522" s="99"/>
      <c r="W522" s="99"/>
      <c r="X522" s="99"/>
      <c r="Y522" s="99"/>
      <c r="Z522" s="99"/>
      <c r="AA522" s="99"/>
      <c r="AB522" s="99"/>
      <c r="AC522" s="95" t="str">
        <f t="shared" si="1"/>
        <v/>
      </c>
    </row>
    <row r="523" ht="15.75" customHeight="1">
      <c r="N523" s="99"/>
      <c r="O523" s="99"/>
      <c r="P523" s="99"/>
      <c r="Q523" s="99"/>
      <c r="R523" s="99"/>
      <c r="S523" s="99"/>
      <c r="T523" s="99"/>
      <c r="U523" s="99"/>
      <c r="V523" s="99"/>
      <c r="W523" s="99"/>
      <c r="X523" s="99"/>
      <c r="Y523" s="99"/>
      <c r="Z523" s="99"/>
      <c r="AA523" s="99"/>
      <c r="AB523" s="99"/>
      <c r="AC523" s="95" t="str">
        <f t="shared" si="1"/>
        <v/>
      </c>
    </row>
    <row r="524" ht="15.75" customHeight="1">
      <c r="N524" s="99"/>
      <c r="O524" s="99"/>
      <c r="P524" s="99"/>
      <c r="Q524" s="99"/>
      <c r="R524" s="99"/>
      <c r="S524" s="99"/>
      <c r="T524" s="99"/>
      <c r="U524" s="99"/>
      <c r="V524" s="99"/>
      <c r="W524" s="99"/>
      <c r="X524" s="99"/>
      <c r="Y524" s="99"/>
      <c r="Z524" s="99"/>
      <c r="AA524" s="99"/>
      <c r="AB524" s="99"/>
      <c r="AC524" s="95" t="str">
        <f t="shared" si="1"/>
        <v/>
      </c>
    </row>
    <row r="525" ht="15.75" customHeight="1">
      <c r="N525" s="99"/>
      <c r="O525" s="99"/>
      <c r="P525" s="99"/>
      <c r="Q525" s="99"/>
      <c r="R525" s="99"/>
      <c r="S525" s="99"/>
      <c r="T525" s="99"/>
      <c r="U525" s="99"/>
      <c r="V525" s="99"/>
      <c r="W525" s="99"/>
      <c r="X525" s="99"/>
      <c r="Y525" s="99"/>
      <c r="Z525" s="99"/>
      <c r="AA525" s="99"/>
      <c r="AB525" s="99"/>
      <c r="AC525" s="95" t="str">
        <f t="shared" si="1"/>
        <v/>
      </c>
    </row>
    <row r="526" ht="15.75" customHeight="1">
      <c r="N526" s="99"/>
      <c r="O526" s="99"/>
      <c r="P526" s="99"/>
      <c r="Q526" s="99"/>
      <c r="R526" s="99"/>
      <c r="S526" s="99"/>
      <c r="T526" s="99"/>
      <c r="U526" s="99"/>
      <c r="V526" s="99"/>
      <c r="W526" s="99"/>
      <c r="X526" s="99"/>
      <c r="Y526" s="99"/>
      <c r="Z526" s="99"/>
      <c r="AA526" s="99"/>
      <c r="AB526" s="99"/>
      <c r="AC526" s="95" t="str">
        <f t="shared" si="1"/>
        <v/>
      </c>
    </row>
    <row r="527" ht="15.75" customHeight="1">
      <c r="N527" s="99"/>
      <c r="O527" s="99"/>
      <c r="P527" s="99"/>
      <c r="Q527" s="99"/>
      <c r="R527" s="99"/>
      <c r="S527" s="99"/>
      <c r="T527" s="99"/>
      <c r="U527" s="99"/>
      <c r="V527" s="99"/>
      <c r="W527" s="99"/>
      <c r="X527" s="99"/>
      <c r="Y527" s="99"/>
      <c r="Z527" s="99"/>
      <c r="AA527" s="99"/>
      <c r="AB527" s="99"/>
      <c r="AC527" s="95" t="str">
        <f t="shared" si="1"/>
        <v/>
      </c>
    </row>
    <row r="528" ht="15.75" customHeight="1">
      <c r="N528" s="99"/>
      <c r="O528" s="99"/>
      <c r="P528" s="99"/>
      <c r="Q528" s="99"/>
      <c r="R528" s="99"/>
      <c r="S528" s="99"/>
      <c r="T528" s="99"/>
      <c r="U528" s="99"/>
      <c r="V528" s="99"/>
      <c r="W528" s="99"/>
      <c r="X528" s="99"/>
      <c r="Y528" s="99"/>
      <c r="Z528" s="99"/>
      <c r="AA528" s="99"/>
      <c r="AB528" s="99"/>
      <c r="AC528" s="95" t="str">
        <f t="shared" si="1"/>
        <v/>
      </c>
    </row>
    <row r="529" ht="15.75" customHeight="1">
      <c r="N529" s="99"/>
      <c r="O529" s="99"/>
      <c r="P529" s="99"/>
      <c r="Q529" s="99"/>
      <c r="R529" s="99"/>
      <c r="S529" s="99"/>
      <c r="T529" s="99"/>
      <c r="U529" s="99"/>
      <c r="V529" s="99"/>
      <c r="W529" s="99"/>
      <c r="X529" s="99"/>
      <c r="Y529" s="99"/>
      <c r="Z529" s="99"/>
      <c r="AA529" s="99"/>
      <c r="AB529" s="99"/>
      <c r="AC529" s="95" t="str">
        <f t="shared" si="1"/>
        <v/>
      </c>
    </row>
    <row r="530" ht="15.75" customHeight="1">
      <c r="N530" s="99"/>
      <c r="O530" s="99"/>
      <c r="P530" s="99"/>
      <c r="Q530" s="99"/>
      <c r="R530" s="99"/>
      <c r="S530" s="99"/>
      <c r="T530" s="99"/>
      <c r="U530" s="99"/>
      <c r="V530" s="99"/>
      <c r="W530" s="99"/>
      <c r="X530" s="99"/>
      <c r="Y530" s="99"/>
      <c r="Z530" s="99"/>
      <c r="AA530" s="99"/>
      <c r="AB530" s="99"/>
      <c r="AC530" s="95" t="str">
        <f t="shared" si="1"/>
        <v/>
      </c>
    </row>
    <row r="531" ht="15.75" customHeight="1">
      <c r="N531" s="99"/>
      <c r="O531" s="99"/>
      <c r="P531" s="99"/>
      <c r="Q531" s="99"/>
      <c r="R531" s="99"/>
      <c r="S531" s="99"/>
      <c r="T531" s="99"/>
      <c r="U531" s="99"/>
      <c r="V531" s="99"/>
      <c r="W531" s="99"/>
      <c r="X531" s="99"/>
      <c r="Y531" s="99"/>
      <c r="Z531" s="99"/>
      <c r="AA531" s="99"/>
      <c r="AB531" s="99"/>
      <c r="AC531" s="95" t="str">
        <f t="shared" si="1"/>
        <v/>
      </c>
    </row>
    <row r="532" ht="15.75" customHeight="1">
      <c r="N532" s="99"/>
      <c r="O532" s="99"/>
      <c r="P532" s="99"/>
      <c r="Q532" s="99"/>
      <c r="R532" s="99"/>
      <c r="S532" s="99"/>
      <c r="T532" s="99"/>
      <c r="U532" s="99"/>
      <c r="V532" s="99"/>
      <c r="W532" s="99"/>
      <c r="X532" s="99"/>
      <c r="Y532" s="99"/>
      <c r="Z532" s="99"/>
      <c r="AA532" s="99"/>
      <c r="AB532" s="99"/>
      <c r="AC532" s="95" t="str">
        <f t="shared" si="1"/>
        <v/>
      </c>
    </row>
    <row r="533" ht="15.75" customHeight="1">
      <c r="N533" s="99"/>
      <c r="O533" s="99"/>
      <c r="P533" s="99"/>
      <c r="Q533" s="99"/>
      <c r="R533" s="99"/>
      <c r="S533" s="99"/>
      <c r="T533" s="99"/>
      <c r="U533" s="99"/>
      <c r="V533" s="99"/>
      <c r="W533" s="99"/>
      <c r="X533" s="99"/>
      <c r="Y533" s="99"/>
      <c r="Z533" s="99"/>
      <c r="AA533" s="99"/>
      <c r="AB533" s="99"/>
      <c r="AC533" s="95" t="str">
        <f t="shared" si="1"/>
        <v/>
      </c>
    </row>
    <row r="534" ht="15.75" customHeight="1">
      <c r="N534" s="99"/>
      <c r="O534" s="99"/>
      <c r="P534" s="99"/>
      <c r="Q534" s="99"/>
      <c r="R534" s="99"/>
      <c r="S534" s="99"/>
      <c r="T534" s="99"/>
      <c r="U534" s="99"/>
      <c r="V534" s="99"/>
      <c r="W534" s="99"/>
      <c r="X534" s="99"/>
      <c r="Y534" s="99"/>
      <c r="Z534" s="99"/>
      <c r="AA534" s="99"/>
      <c r="AB534" s="99"/>
      <c r="AC534" s="95" t="str">
        <f t="shared" si="1"/>
        <v/>
      </c>
    </row>
    <row r="535" ht="15.75" customHeight="1">
      <c r="N535" s="99"/>
      <c r="O535" s="99"/>
      <c r="P535" s="99"/>
      <c r="Q535" s="99"/>
      <c r="R535" s="99"/>
      <c r="S535" s="99"/>
      <c r="T535" s="99"/>
      <c r="U535" s="99"/>
      <c r="V535" s="99"/>
      <c r="W535" s="99"/>
      <c r="X535" s="99"/>
      <c r="Y535" s="99"/>
      <c r="Z535" s="99"/>
      <c r="AA535" s="99"/>
      <c r="AB535" s="99"/>
      <c r="AC535" s="95" t="str">
        <f t="shared" si="1"/>
        <v/>
      </c>
    </row>
    <row r="536" ht="15.75" customHeight="1">
      <c r="N536" s="99"/>
      <c r="O536" s="99"/>
      <c r="P536" s="99"/>
      <c r="Q536" s="99"/>
      <c r="R536" s="99"/>
      <c r="S536" s="99"/>
      <c r="T536" s="99"/>
      <c r="U536" s="99"/>
      <c r="V536" s="99"/>
      <c r="W536" s="99"/>
      <c r="X536" s="99"/>
      <c r="Y536" s="99"/>
      <c r="Z536" s="99"/>
      <c r="AA536" s="99"/>
      <c r="AB536" s="99"/>
      <c r="AC536" s="95" t="str">
        <f t="shared" si="1"/>
        <v/>
      </c>
    </row>
    <row r="537" ht="15.75" customHeight="1">
      <c r="N537" s="99"/>
      <c r="O537" s="99"/>
      <c r="P537" s="99"/>
      <c r="Q537" s="99"/>
      <c r="R537" s="99"/>
      <c r="S537" s="99"/>
      <c r="T537" s="99"/>
      <c r="U537" s="99"/>
      <c r="V537" s="99"/>
      <c r="W537" s="99"/>
      <c r="X537" s="99"/>
      <c r="Y537" s="99"/>
      <c r="Z537" s="99"/>
      <c r="AA537" s="99"/>
      <c r="AB537" s="99"/>
      <c r="AC537" s="95" t="str">
        <f t="shared" si="1"/>
        <v/>
      </c>
    </row>
    <row r="538" ht="15.75" customHeight="1">
      <c r="N538" s="99"/>
      <c r="O538" s="99"/>
      <c r="P538" s="99"/>
      <c r="Q538" s="99"/>
      <c r="R538" s="99"/>
      <c r="S538" s="99"/>
      <c r="T538" s="99"/>
      <c r="U538" s="99"/>
      <c r="V538" s="99"/>
      <c r="W538" s="99"/>
      <c r="X538" s="99"/>
      <c r="Y538" s="99"/>
      <c r="Z538" s="99"/>
      <c r="AA538" s="99"/>
      <c r="AB538" s="99"/>
      <c r="AC538" s="95" t="str">
        <f t="shared" si="1"/>
        <v/>
      </c>
    </row>
    <row r="539" ht="15.75" customHeight="1">
      <c r="N539" s="99"/>
      <c r="O539" s="99"/>
      <c r="P539" s="99"/>
      <c r="Q539" s="99"/>
      <c r="R539" s="99"/>
      <c r="S539" s="99"/>
      <c r="T539" s="99"/>
      <c r="U539" s="99"/>
      <c r="V539" s="99"/>
      <c r="W539" s="99"/>
      <c r="X539" s="99"/>
      <c r="Y539" s="99"/>
      <c r="Z539" s="99"/>
      <c r="AA539" s="99"/>
      <c r="AB539" s="99"/>
      <c r="AC539" s="95" t="str">
        <f t="shared" si="1"/>
        <v/>
      </c>
    </row>
    <row r="540" ht="15.75" customHeight="1">
      <c r="N540" s="99"/>
      <c r="O540" s="99"/>
      <c r="P540" s="99"/>
      <c r="Q540" s="99"/>
      <c r="R540" s="99"/>
      <c r="S540" s="99"/>
      <c r="T540" s="99"/>
      <c r="U540" s="99"/>
      <c r="V540" s="99"/>
      <c r="W540" s="99"/>
      <c r="X540" s="99"/>
      <c r="Y540" s="99"/>
      <c r="Z540" s="99"/>
      <c r="AA540" s="99"/>
      <c r="AB540" s="99"/>
      <c r="AC540" s="95" t="str">
        <f t="shared" si="1"/>
        <v/>
      </c>
    </row>
    <row r="541" ht="15.75" customHeight="1">
      <c r="N541" s="99"/>
      <c r="O541" s="99"/>
      <c r="P541" s="99"/>
      <c r="Q541" s="99"/>
      <c r="R541" s="99"/>
      <c r="S541" s="99"/>
      <c r="T541" s="99"/>
      <c r="U541" s="99"/>
      <c r="V541" s="99"/>
      <c r="W541" s="99"/>
      <c r="X541" s="99"/>
      <c r="Y541" s="99"/>
      <c r="Z541" s="99"/>
      <c r="AA541" s="99"/>
      <c r="AB541" s="99"/>
      <c r="AC541" s="95" t="str">
        <f t="shared" si="1"/>
        <v/>
      </c>
    </row>
    <row r="542" ht="15.75" customHeight="1">
      <c r="N542" s="99"/>
      <c r="O542" s="99"/>
      <c r="P542" s="99"/>
      <c r="Q542" s="99"/>
      <c r="R542" s="99"/>
      <c r="S542" s="99"/>
      <c r="T542" s="99"/>
      <c r="U542" s="99"/>
      <c r="V542" s="99"/>
      <c r="W542" s="99"/>
      <c r="X542" s="99"/>
      <c r="Y542" s="99"/>
      <c r="Z542" s="99"/>
      <c r="AA542" s="99"/>
      <c r="AB542" s="99"/>
      <c r="AC542" s="95" t="str">
        <f t="shared" si="1"/>
        <v/>
      </c>
    </row>
    <row r="543" ht="15.75" customHeight="1">
      <c r="N543" s="99"/>
      <c r="O543" s="99"/>
      <c r="P543" s="99"/>
      <c r="Q543" s="99"/>
      <c r="R543" s="99"/>
      <c r="S543" s="99"/>
      <c r="T543" s="99"/>
      <c r="U543" s="99"/>
      <c r="V543" s="99"/>
      <c r="W543" s="99"/>
      <c r="X543" s="99"/>
      <c r="Y543" s="99"/>
      <c r="Z543" s="99"/>
      <c r="AA543" s="99"/>
      <c r="AB543" s="99"/>
      <c r="AC543" s="95" t="str">
        <f t="shared" si="1"/>
        <v/>
      </c>
    </row>
    <row r="544" ht="15.75" customHeight="1">
      <c r="N544" s="99"/>
      <c r="O544" s="99"/>
      <c r="P544" s="99"/>
      <c r="Q544" s="99"/>
      <c r="R544" s="99"/>
      <c r="S544" s="99"/>
      <c r="T544" s="99"/>
      <c r="U544" s="99"/>
      <c r="V544" s="99"/>
      <c r="W544" s="99"/>
      <c r="X544" s="99"/>
      <c r="Y544" s="99"/>
      <c r="Z544" s="99"/>
      <c r="AA544" s="99"/>
      <c r="AB544" s="99"/>
      <c r="AC544" s="95" t="str">
        <f t="shared" si="1"/>
        <v/>
      </c>
    </row>
    <row r="545" ht="15.75" customHeight="1">
      <c r="N545" s="99"/>
      <c r="O545" s="99"/>
      <c r="P545" s="99"/>
      <c r="Q545" s="99"/>
      <c r="R545" s="99"/>
      <c r="S545" s="99"/>
      <c r="T545" s="99"/>
      <c r="U545" s="99"/>
      <c r="V545" s="99"/>
      <c r="W545" s="99"/>
      <c r="X545" s="99"/>
      <c r="Y545" s="99"/>
      <c r="Z545" s="99"/>
      <c r="AA545" s="99"/>
      <c r="AB545" s="99"/>
      <c r="AC545" s="95" t="str">
        <f t="shared" si="1"/>
        <v/>
      </c>
    </row>
    <row r="546" ht="15.75" customHeight="1">
      <c r="N546" s="99"/>
      <c r="O546" s="99"/>
      <c r="P546" s="99"/>
      <c r="Q546" s="99"/>
      <c r="R546" s="99"/>
      <c r="S546" s="99"/>
      <c r="T546" s="99"/>
      <c r="U546" s="99"/>
      <c r="V546" s="99"/>
      <c r="W546" s="99"/>
      <c r="X546" s="99"/>
      <c r="Y546" s="99"/>
      <c r="Z546" s="99"/>
      <c r="AA546" s="99"/>
      <c r="AB546" s="99"/>
      <c r="AC546" s="95" t="str">
        <f t="shared" si="1"/>
        <v/>
      </c>
    </row>
    <row r="547" ht="15.75" customHeight="1">
      <c r="N547" s="99"/>
      <c r="O547" s="99"/>
      <c r="P547" s="99"/>
      <c r="Q547" s="99"/>
      <c r="R547" s="99"/>
      <c r="S547" s="99"/>
      <c r="T547" s="99"/>
      <c r="U547" s="99"/>
      <c r="V547" s="99"/>
      <c r="W547" s="99"/>
      <c r="X547" s="99"/>
      <c r="Y547" s="99"/>
      <c r="Z547" s="99"/>
      <c r="AA547" s="99"/>
      <c r="AB547" s="99"/>
      <c r="AC547" s="95" t="str">
        <f t="shared" si="1"/>
        <v/>
      </c>
    </row>
    <row r="548" ht="15.75" customHeight="1">
      <c r="N548" s="99"/>
      <c r="O548" s="99"/>
      <c r="P548" s="99"/>
      <c r="Q548" s="99"/>
      <c r="R548" s="99"/>
      <c r="S548" s="99"/>
      <c r="T548" s="99"/>
      <c r="U548" s="99"/>
      <c r="V548" s="99"/>
      <c r="W548" s="99"/>
      <c r="X548" s="99"/>
      <c r="Y548" s="99"/>
      <c r="Z548" s="99"/>
      <c r="AA548" s="99"/>
      <c r="AB548" s="99"/>
      <c r="AC548" s="95" t="str">
        <f t="shared" si="1"/>
        <v/>
      </c>
    </row>
    <row r="549" ht="15.75" customHeight="1">
      <c r="N549" s="99"/>
      <c r="O549" s="99"/>
      <c r="P549" s="99"/>
      <c r="Q549" s="99"/>
      <c r="R549" s="99"/>
      <c r="S549" s="99"/>
      <c r="T549" s="99"/>
      <c r="U549" s="99"/>
      <c r="V549" s="99"/>
      <c r="W549" s="99"/>
      <c r="X549" s="99"/>
      <c r="Y549" s="99"/>
      <c r="Z549" s="99"/>
      <c r="AA549" s="99"/>
      <c r="AB549" s="99"/>
      <c r="AC549" s="95" t="str">
        <f t="shared" si="1"/>
        <v/>
      </c>
    </row>
    <row r="550" ht="15.75" customHeight="1">
      <c r="N550" s="99"/>
      <c r="O550" s="99"/>
      <c r="P550" s="99"/>
      <c r="Q550" s="99"/>
      <c r="R550" s="99"/>
      <c r="S550" s="99"/>
      <c r="T550" s="99"/>
      <c r="U550" s="99"/>
      <c r="V550" s="99"/>
      <c r="W550" s="99"/>
      <c r="X550" s="99"/>
      <c r="Y550" s="99"/>
      <c r="Z550" s="99"/>
      <c r="AA550" s="99"/>
      <c r="AB550" s="99"/>
      <c r="AC550" s="95" t="str">
        <f t="shared" si="1"/>
        <v/>
      </c>
    </row>
    <row r="551" ht="15.75" customHeight="1">
      <c r="N551" s="99"/>
      <c r="O551" s="99"/>
      <c r="P551" s="99"/>
      <c r="Q551" s="99"/>
      <c r="R551" s="99"/>
      <c r="S551" s="99"/>
      <c r="T551" s="99"/>
      <c r="U551" s="99"/>
      <c r="V551" s="99"/>
      <c r="W551" s="99"/>
      <c r="X551" s="99"/>
      <c r="Y551" s="99"/>
      <c r="Z551" s="99"/>
      <c r="AA551" s="99"/>
      <c r="AB551" s="99"/>
      <c r="AC551" s="95" t="str">
        <f t="shared" si="1"/>
        <v/>
      </c>
    </row>
    <row r="552" ht="15.75" customHeight="1">
      <c r="N552" s="99"/>
      <c r="O552" s="99"/>
      <c r="P552" s="99"/>
      <c r="Q552" s="99"/>
      <c r="R552" s="99"/>
      <c r="S552" s="99"/>
      <c r="T552" s="99"/>
      <c r="U552" s="99"/>
      <c r="V552" s="99"/>
      <c r="W552" s="99"/>
      <c r="X552" s="99"/>
      <c r="Y552" s="99"/>
      <c r="Z552" s="99"/>
      <c r="AA552" s="99"/>
      <c r="AB552" s="99"/>
      <c r="AC552" s="95" t="str">
        <f t="shared" si="1"/>
        <v/>
      </c>
    </row>
    <row r="553" ht="15.75" customHeight="1">
      <c r="N553" s="99"/>
      <c r="O553" s="99"/>
      <c r="P553" s="99"/>
      <c r="Q553" s="99"/>
      <c r="R553" s="99"/>
      <c r="S553" s="99"/>
      <c r="T553" s="99"/>
      <c r="U553" s="99"/>
      <c r="V553" s="99"/>
      <c r="W553" s="99"/>
      <c r="X553" s="99"/>
      <c r="Y553" s="99"/>
      <c r="Z553" s="99"/>
      <c r="AA553" s="99"/>
      <c r="AB553" s="99"/>
      <c r="AC553" s="95" t="str">
        <f t="shared" si="1"/>
        <v/>
      </c>
    </row>
    <row r="554" ht="15.75" customHeight="1">
      <c r="N554" s="99"/>
      <c r="O554" s="99"/>
      <c r="P554" s="99"/>
      <c r="Q554" s="99"/>
      <c r="R554" s="99"/>
      <c r="S554" s="99"/>
      <c r="T554" s="99"/>
      <c r="U554" s="99"/>
      <c r="V554" s="99"/>
      <c r="W554" s="99"/>
      <c r="X554" s="99"/>
      <c r="Y554" s="99"/>
      <c r="Z554" s="99"/>
      <c r="AA554" s="99"/>
      <c r="AB554" s="99"/>
      <c r="AC554" s="95" t="str">
        <f t="shared" si="1"/>
        <v/>
      </c>
    </row>
    <row r="555" ht="15.75" customHeight="1">
      <c r="N555" s="99"/>
      <c r="O555" s="99"/>
      <c r="P555" s="99"/>
      <c r="Q555" s="99"/>
      <c r="R555" s="99"/>
      <c r="S555" s="99"/>
      <c r="T555" s="99"/>
      <c r="U555" s="99"/>
      <c r="V555" s="99"/>
      <c r="W555" s="99"/>
      <c r="X555" s="99"/>
      <c r="Y555" s="99"/>
      <c r="Z555" s="99"/>
      <c r="AA555" s="99"/>
      <c r="AB555" s="99"/>
      <c r="AC555" s="95" t="str">
        <f t="shared" si="1"/>
        <v/>
      </c>
    </row>
    <row r="556" ht="15.75" customHeight="1">
      <c r="N556" s="99"/>
      <c r="O556" s="99"/>
      <c r="P556" s="99"/>
      <c r="Q556" s="99"/>
      <c r="R556" s="99"/>
      <c r="S556" s="99"/>
      <c r="T556" s="99"/>
      <c r="U556" s="99"/>
      <c r="V556" s="99"/>
      <c r="W556" s="99"/>
      <c r="X556" s="99"/>
      <c r="Y556" s="99"/>
      <c r="Z556" s="99"/>
      <c r="AA556" s="99"/>
      <c r="AB556" s="99"/>
      <c r="AC556" s="95" t="str">
        <f t="shared" si="1"/>
        <v/>
      </c>
    </row>
    <row r="557" ht="15.75" customHeight="1">
      <c r="N557" s="99"/>
      <c r="O557" s="99"/>
      <c r="P557" s="99"/>
      <c r="Q557" s="99"/>
      <c r="R557" s="99"/>
      <c r="S557" s="99"/>
      <c r="T557" s="99"/>
      <c r="U557" s="99"/>
      <c r="V557" s="99"/>
      <c r="W557" s="99"/>
      <c r="X557" s="99"/>
      <c r="Y557" s="99"/>
      <c r="Z557" s="99"/>
      <c r="AA557" s="99"/>
      <c r="AB557" s="99"/>
      <c r="AC557" s="95" t="str">
        <f t="shared" si="1"/>
        <v/>
      </c>
    </row>
    <row r="558" ht="15.75" customHeight="1">
      <c r="N558" s="99"/>
      <c r="O558" s="99"/>
      <c r="P558" s="99"/>
      <c r="Q558" s="99"/>
      <c r="R558" s="99"/>
      <c r="S558" s="99"/>
      <c r="T558" s="99"/>
      <c r="U558" s="99"/>
      <c r="V558" s="99"/>
      <c r="W558" s="99"/>
      <c r="X558" s="99"/>
      <c r="Y558" s="99"/>
      <c r="Z558" s="99"/>
      <c r="AA558" s="99"/>
      <c r="AB558" s="99"/>
      <c r="AC558" s="95" t="str">
        <f t="shared" si="1"/>
        <v/>
      </c>
    </row>
    <row r="559" ht="15.75" customHeight="1">
      <c r="N559" s="99"/>
      <c r="O559" s="99"/>
      <c r="P559" s="99"/>
      <c r="Q559" s="99"/>
      <c r="R559" s="99"/>
      <c r="S559" s="99"/>
      <c r="T559" s="99"/>
      <c r="U559" s="99"/>
      <c r="V559" s="99"/>
      <c r="W559" s="99"/>
      <c r="X559" s="99"/>
      <c r="Y559" s="99"/>
      <c r="Z559" s="99"/>
      <c r="AA559" s="99"/>
      <c r="AB559" s="99"/>
      <c r="AC559" s="95" t="str">
        <f t="shared" si="1"/>
        <v/>
      </c>
    </row>
    <row r="560" ht="15.75" customHeight="1">
      <c r="N560" s="99"/>
      <c r="O560" s="99"/>
      <c r="P560" s="99"/>
      <c r="Q560" s="99"/>
      <c r="R560" s="99"/>
      <c r="S560" s="99"/>
      <c r="T560" s="99"/>
      <c r="U560" s="99"/>
      <c r="V560" s="99"/>
      <c r="W560" s="99"/>
      <c r="X560" s="99"/>
      <c r="Y560" s="99"/>
      <c r="Z560" s="99"/>
      <c r="AA560" s="99"/>
      <c r="AB560" s="99"/>
      <c r="AC560" s="95" t="str">
        <f t="shared" si="1"/>
        <v/>
      </c>
    </row>
    <row r="561" ht="15.75" customHeight="1">
      <c r="N561" s="99"/>
      <c r="O561" s="99"/>
      <c r="P561" s="99"/>
      <c r="Q561" s="99"/>
      <c r="R561" s="99"/>
      <c r="S561" s="99"/>
      <c r="T561" s="99"/>
      <c r="U561" s="99"/>
      <c r="V561" s="99"/>
      <c r="W561" s="99"/>
      <c r="X561" s="99"/>
      <c r="Y561" s="99"/>
      <c r="Z561" s="99"/>
      <c r="AA561" s="99"/>
      <c r="AB561" s="99"/>
      <c r="AC561" s="95" t="str">
        <f t="shared" si="1"/>
        <v/>
      </c>
    </row>
    <row r="562" ht="15.75" customHeight="1">
      <c r="N562" s="99"/>
      <c r="O562" s="99"/>
      <c r="P562" s="99"/>
      <c r="Q562" s="99"/>
      <c r="R562" s="99"/>
      <c r="S562" s="99"/>
      <c r="T562" s="99"/>
      <c r="U562" s="99"/>
      <c r="V562" s="99"/>
      <c r="W562" s="99"/>
      <c r="X562" s="99"/>
      <c r="Y562" s="99"/>
      <c r="Z562" s="99"/>
      <c r="AA562" s="99"/>
      <c r="AB562" s="99"/>
      <c r="AC562" s="95" t="str">
        <f t="shared" si="1"/>
        <v/>
      </c>
    </row>
    <row r="563" ht="15.75" customHeight="1">
      <c r="N563" s="99"/>
      <c r="O563" s="99"/>
      <c r="P563" s="99"/>
      <c r="Q563" s="99"/>
      <c r="R563" s="99"/>
      <c r="S563" s="99"/>
      <c r="T563" s="99"/>
      <c r="U563" s="99"/>
      <c r="V563" s="99"/>
      <c r="W563" s="99"/>
      <c r="X563" s="99"/>
      <c r="Y563" s="99"/>
      <c r="Z563" s="99"/>
      <c r="AA563" s="99"/>
      <c r="AB563" s="99"/>
      <c r="AC563" s="95" t="str">
        <f t="shared" si="1"/>
        <v/>
      </c>
    </row>
    <row r="564" ht="15.75" customHeight="1">
      <c r="N564" s="99"/>
      <c r="O564" s="99"/>
      <c r="P564" s="99"/>
      <c r="Q564" s="99"/>
      <c r="R564" s="99"/>
      <c r="S564" s="99"/>
      <c r="T564" s="99"/>
      <c r="U564" s="99"/>
      <c r="V564" s="99"/>
      <c r="W564" s="99"/>
      <c r="X564" s="99"/>
      <c r="Y564" s="99"/>
      <c r="Z564" s="99"/>
      <c r="AA564" s="99"/>
      <c r="AB564" s="99"/>
      <c r="AC564" s="95" t="str">
        <f t="shared" si="1"/>
        <v/>
      </c>
    </row>
    <row r="565" ht="15.75" customHeight="1">
      <c r="N565" s="99"/>
      <c r="O565" s="99"/>
      <c r="P565" s="99"/>
      <c r="Q565" s="99"/>
      <c r="R565" s="99"/>
      <c r="S565" s="99"/>
      <c r="T565" s="99"/>
      <c r="U565" s="99"/>
      <c r="V565" s="99"/>
      <c r="W565" s="99"/>
      <c r="X565" s="99"/>
      <c r="Y565" s="99"/>
      <c r="Z565" s="99"/>
      <c r="AA565" s="99"/>
      <c r="AB565" s="99"/>
      <c r="AC565" s="95" t="str">
        <f t="shared" si="1"/>
        <v/>
      </c>
    </row>
    <row r="566" ht="15.75" customHeight="1">
      <c r="N566" s="99"/>
      <c r="O566" s="99"/>
      <c r="P566" s="99"/>
      <c r="Q566" s="99"/>
      <c r="R566" s="99"/>
      <c r="S566" s="99"/>
      <c r="T566" s="99"/>
      <c r="U566" s="99"/>
      <c r="V566" s="99"/>
      <c r="W566" s="99"/>
      <c r="X566" s="99"/>
      <c r="Y566" s="99"/>
      <c r="Z566" s="99"/>
      <c r="AA566" s="99"/>
      <c r="AB566" s="99"/>
      <c r="AC566" s="95" t="str">
        <f t="shared" si="1"/>
        <v/>
      </c>
    </row>
    <row r="567" ht="15.75" customHeight="1">
      <c r="N567" s="99"/>
      <c r="O567" s="99"/>
      <c r="P567" s="99"/>
      <c r="Q567" s="99"/>
      <c r="R567" s="99"/>
      <c r="S567" s="99"/>
      <c r="T567" s="99"/>
      <c r="U567" s="99"/>
      <c r="V567" s="99"/>
      <c r="W567" s="99"/>
      <c r="X567" s="99"/>
      <c r="Y567" s="99"/>
      <c r="Z567" s="99"/>
      <c r="AA567" s="99"/>
      <c r="AB567" s="99"/>
      <c r="AC567" s="95" t="str">
        <f t="shared" si="1"/>
        <v/>
      </c>
    </row>
    <row r="568" ht="15.75" customHeight="1">
      <c r="N568" s="99"/>
      <c r="O568" s="99"/>
      <c r="P568" s="99"/>
      <c r="Q568" s="99"/>
      <c r="R568" s="99"/>
      <c r="S568" s="99"/>
      <c r="T568" s="99"/>
      <c r="U568" s="99"/>
      <c r="V568" s="99"/>
      <c r="W568" s="99"/>
      <c r="X568" s="99"/>
      <c r="Y568" s="99"/>
      <c r="Z568" s="99"/>
      <c r="AA568" s="99"/>
      <c r="AB568" s="99"/>
      <c r="AC568" s="95" t="str">
        <f t="shared" si="1"/>
        <v/>
      </c>
    </row>
    <row r="569" ht="15.75" customHeight="1">
      <c r="N569" s="99"/>
      <c r="O569" s="99"/>
      <c r="P569" s="99"/>
      <c r="Q569" s="99"/>
      <c r="R569" s="99"/>
      <c r="S569" s="99"/>
      <c r="T569" s="99"/>
      <c r="U569" s="99"/>
      <c r="V569" s="99"/>
      <c r="W569" s="99"/>
      <c r="X569" s="99"/>
      <c r="Y569" s="99"/>
      <c r="Z569" s="99"/>
      <c r="AA569" s="99"/>
      <c r="AB569" s="99"/>
      <c r="AC569" s="95" t="str">
        <f t="shared" si="1"/>
        <v/>
      </c>
    </row>
    <row r="570" ht="15.75" customHeight="1">
      <c r="N570" s="99"/>
      <c r="O570" s="99"/>
      <c r="P570" s="99"/>
      <c r="Q570" s="99"/>
      <c r="R570" s="99"/>
      <c r="S570" s="99"/>
      <c r="T570" s="99"/>
      <c r="U570" s="99"/>
      <c r="V570" s="99"/>
      <c r="W570" s="99"/>
      <c r="X570" s="99"/>
      <c r="Y570" s="99"/>
      <c r="Z570" s="99"/>
      <c r="AA570" s="99"/>
      <c r="AB570" s="99"/>
      <c r="AC570" s="95" t="str">
        <f t="shared" si="1"/>
        <v/>
      </c>
    </row>
    <row r="571" ht="15.75" customHeight="1">
      <c r="N571" s="99"/>
      <c r="O571" s="99"/>
      <c r="P571" s="99"/>
      <c r="Q571" s="99"/>
      <c r="R571" s="99"/>
      <c r="S571" s="99"/>
      <c r="T571" s="99"/>
      <c r="U571" s="99"/>
      <c r="V571" s="99"/>
      <c r="W571" s="99"/>
      <c r="X571" s="99"/>
      <c r="Y571" s="99"/>
      <c r="Z571" s="99"/>
      <c r="AA571" s="99"/>
      <c r="AB571" s="99"/>
      <c r="AC571" s="95" t="str">
        <f t="shared" si="1"/>
        <v/>
      </c>
    </row>
    <row r="572" ht="15.75" customHeight="1">
      <c r="N572" s="99"/>
      <c r="O572" s="99"/>
      <c r="P572" s="99"/>
      <c r="Q572" s="99"/>
      <c r="R572" s="99"/>
      <c r="S572" s="99"/>
      <c r="T572" s="99"/>
      <c r="U572" s="99"/>
      <c r="V572" s="99"/>
      <c r="W572" s="99"/>
      <c r="X572" s="99"/>
      <c r="Y572" s="99"/>
      <c r="Z572" s="99"/>
      <c r="AA572" s="99"/>
      <c r="AB572" s="99"/>
      <c r="AC572" s="95" t="str">
        <f t="shared" si="1"/>
        <v/>
      </c>
    </row>
    <row r="573" ht="15.75" customHeight="1">
      <c r="N573" s="99"/>
      <c r="O573" s="99"/>
      <c r="P573" s="99"/>
      <c r="Q573" s="99"/>
      <c r="R573" s="99"/>
      <c r="S573" s="99"/>
      <c r="T573" s="99"/>
      <c r="U573" s="99"/>
      <c r="V573" s="99"/>
      <c r="W573" s="99"/>
      <c r="X573" s="99"/>
      <c r="Y573" s="99"/>
      <c r="Z573" s="99"/>
      <c r="AA573" s="99"/>
      <c r="AB573" s="99"/>
      <c r="AC573" s="95" t="str">
        <f t="shared" si="1"/>
        <v/>
      </c>
    </row>
    <row r="574" ht="15.75" customHeight="1">
      <c r="N574" s="99"/>
      <c r="O574" s="99"/>
      <c r="P574" s="99"/>
      <c r="Q574" s="99"/>
      <c r="R574" s="99"/>
      <c r="S574" s="99"/>
      <c r="T574" s="99"/>
      <c r="U574" s="99"/>
      <c r="V574" s="99"/>
      <c r="W574" s="99"/>
      <c r="X574" s="99"/>
      <c r="Y574" s="99"/>
      <c r="Z574" s="99"/>
      <c r="AA574" s="99"/>
      <c r="AB574" s="99"/>
      <c r="AC574" s="95" t="str">
        <f t="shared" si="1"/>
        <v/>
      </c>
    </row>
    <row r="575" ht="15.75" customHeight="1">
      <c r="N575" s="99"/>
      <c r="O575" s="99"/>
      <c r="P575" s="99"/>
      <c r="Q575" s="99"/>
      <c r="R575" s="99"/>
      <c r="S575" s="99"/>
      <c r="T575" s="99"/>
      <c r="U575" s="99"/>
      <c r="V575" s="99"/>
      <c r="W575" s="99"/>
      <c r="X575" s="99"/>
      <c r="Y575" s="99"/>
      <c r="Z575" s="99"/>
      <c r="AA575" s="99"/>
      <c r="AB575" s="99"/>
      <c r="AC575" s="95" t="str">
        <f t="shared" si="1"/>
        <v/>
      </c>
    </row>
    <row r="576" ht="15.75" customHeight="1">
      <c r="N576" s="99"/>
      <c r="O576" s="99"/>
      <c r="P576" s="99"/>
      <c r="Q576" s="99"/>
      <c r="R576" s="99"/>
      <c r="S576" s="99"/>
      <c r="T576" s="99"/>
      <c r="U576" s="99"/>
      <c r="V576" s="99"/>
      <c r="W576" s="99"/>
      <c r="X576" s="99"/>
      <c r="Y576" s="99"/>
      <c r="Z576" s="99"/>
      <c r="AA576" s="99"/>
      <c r="AB576" s="99"/>
      <c r="AC576" s="95" t="str">
        <f t="shared" si="1"/>
        <v/>
      </c>
    </row>
    <row r="577" ht="15.75" customHeight="1">
      <c r="N577" s="99"/>
      <c r="O577" s="99"/>
      <c r="P577" s="99"/>
      <c r="Q577" s="99"/>
      <c r="R577" s="99"/>
      <c r="S577" s="99"/>
      <c r="T577" s="99"/>
      <c r="U577" s="99"/>
      <c r="V577" s="99"/>
      <c r="W577" s="99"/>
      <c r="X577" s="99"/>
      <c r="Y577" s="99"/>
      <c r="Z577" s="99"/>
      <c r="AA577" s="99"/>
      <c r="AB577" s="99"/>
      <c r="AC577" s="95" t="str">
        <f t="shared" si="1"/>
        <v/>
      </c>
    </row>
    <row r="578" ht="15.75" customHeight="1">
      <c r="N578" s="99"/>
      <c r="O578" s="99"/>
      <c r="P578" s="99"/>
      <c r="Q578" s="99"/>
      <c r="R578" s="99"/>
      <c r="S578" s="99"/>
      <c r="T578" s="99"/>
      <c r="U578" s="99"/>
      <c r="V578" s="99"/>
      <c r="W578" s="99"/>
      <c r="X578" s="99"/>
      <c r="Y578" s="99"/>
      <c r="Z578" s="99"/>
      <c r="AA578" s="99"/>
      <c r="AB578" s="99"/>
      <c r="AC578" s="95" t="str">
        <f t="shared" si="1"/>
        <v/>
      </c>
    </row>
    <row r="579" ht="15.75" customHeight="1">
      <c r="N579" s="99"/>
      <c r="O579" s="99"/>
      <c r="P579" s="99"/>
      <c r="Q579" s="99"/>
      <c r="R579" s="99"/>
      <c r="S579" s="99"/>
      <c r="T579" s="99"/>
      <c r="U579" s="99"/>
      <c r="V579" s="99"/>
      <c r="W579" s="99"/>
      <c r="X579" s="99"/>
      <c r="Y579" s="99"/>
      <c r="Z579" s="99"/>
      <c r="AA579" s="99"/>
      <c r="AB579" s="99"/>
      <c r="AC579" s="95" t="str">
        <f t="shared" si="1"/>
        <v/>
      </c>
    </row>
    <row r="580" ht="15.75" customHeight="1">
      <c r="N580" s="99"/>
      <c r="O580" s="99"/>
      <c r="P580" s="99"/>
      <c r="Q580" s="99"/>
      <c r="R580" s="99"/>
      <c r="S580" s="99"/>
      <c r="T580" s="99"/>
      <c r="U580" s="99"/>
      <c r="V580" s="99"/>
      <c r="W580" s="99"/>
      <c r="X580" s="99"/>
      <c r="Y580" s="99"/>
      <c r="Z580" s="99"/>
      <c r="AA580" s="99"/>
      <c r="AB580" s="99"/>
      <c r="AC580" s="95" t="str">
        <f t="shared" si="1"/>
        <v/>
      </c>
    </row>
    <row r="581" ht="15.75" customHeight="1">
      <c r="N581" s="99"/>
      <c r="O581" s="99"/>
      <c r="P581" s="99"/>
      <c r="Q581" s="99"/>
      <c r="R581" s="99"/>
      <c r="S581" s="99"/>
      <c r="T581" s="99"/>
      <c r="U581" s="99"/>
      <c r="V581" s="99"/>
      <c r="W581" s="99"/>
      <c r="X581" s="99"/>
      <c r="Y581" s="99"/>
      <c r="Z581" s="99"/>
      <c r="AA581" s="99"/>
      <c r="AB581" s="99"/>
      <c r="AC581" s="95" t="str">
        <f t="shared" si="1"/>
        <v/>
      </c>
    </row>
    <row r="582" ht="15.75" customHeight="1">
      <c r="N582" s="99"/>
      <c r="O582" s="99"/>
      <c r="P582" s="99"/>
      <c r="Q582" s="99"/>
      <c r="R582" s="99"/>
      <c r="S582" s="99"/>
      <c r="T582" s="99"/>
      <c r="U582" s="99"/>
      <c r="V582" s="99"/>
      <c r="W582" s="99"/>
      <c r="X582" s="99"/>
      <c r="Y582" s="99"/>
      <c r="Z582" s="99"/>
      <c r="AA582" s="99"/>
      <c r="AB582" s="99"/>
      <c r="AC582" s="95" t="str">
        <f t="shared" si="1"/>
        <v/>
      </c>
    </row>
    <row r="583" ht="15.75" customHeight="1">
      <c r="N583" s="99"/>
      <c r="O583" s="99"/>
      <c r="P583" s="99"/>
      <c r="Q583" s="99"/>
      <c r="R583" s="99"/>
      <c r="S583" s="99"/>
      <c r="T583" s="99"/>
      <c r="U583" s="99"/>
      <c r="V583" s="99"/>
      <c r="W583" s="99"/>
      <c r="X583" s="99"/>
      <c r="Y583" s="99"/>
      <c r="Z583" s="99"/>
      <c r="AA583" s="99"/>
      <c r="AB583" s="99"/>
      <c r="AC583" s="95" t="str">
        <f t="shared" si="1"/>
        <v/>
      </c>
    </row>
    <row r="584" ht="15.75" customHeight="1">
      <c r="N584" s="99"/>
      <c r="O584" s="99"/>
      <c r="P584" s="99"/>
      <c r="Q584" s="99"/>
      <c r="R584" s="99"/>
      <c r="S584" s="99"/>
      <c r="T584" s="99"/>
      <c r="U584" s="99"/>
      <c r="V584" s="99"/>
      <c r="W584" s="99"/>
      <c r="X584" s="99"/>
      <c r="Y584" s="99"/>
      <c r="Z584" s="99"/>
      <c r="AA584" s="99"/>
      <c r="AB584" s="99"/>
      <c r="AC584" s="95" t="str">
        <f t="shared" si="1"/>
        <v/>
      </c>
    </row>
    <row r="585" ht="15.75" customHeight="1">
      <c r="N585" s="99"/>
      <c r="O585" s="99"/>
      <c r="P585" s="99"/>
      <c r="Q585" s="99"/>
      <c r="R585" s="99"/>
      <c r="S585" s="99"/>
      <c r="T585" s="99"/>
      <c r="U585" s="99"/>
      <c r="V585" s="99"/>
      <c r="W585" s="99"/>
      <c r="X585" s="99"/>
      <c r="Y585" s="99"/>
      <c r="Z585" s="99"/>
      <c r="AA585" s="99"/>
      <c r="AB585" s="99"/>
      <c r="AC585" s="95" t="str">
        <f t="shared" si="1"/>
        <v/>
      </c>
    </row>
    <row r="586" ht="15.75" customHeight="1">
      <c r="N586" s="99"/>
      <c r="O586" s="99"/>
      <c r="P586" s="99"/>
      <c r="Q586" s="99"/>
      <c r="R586" s="99"/>
      <c r="S586" s="99"/>
      <c r="T586" s="99"/>
      <c r="U586" s="99"/>
      <c r="V586" s="99"/>
      <c r="W586" s="99"/>
      <c r="X586" s="99"/>
      <c r="Y586" s="99"/>
      <c r="Z586" s="99"/>
      <c r="AA586" s="99"/>
      <c r="AB586" s="99"/>
      <c r="AC586" s="95" t="str">
        <f t="shared" si="1"/>
        <v/>
      </c>
    </row>
    <row r="587" ht="15.75" customHeight="1">
      <c r="N587" s="99"/>
      <c r="O587" s="99"/>
      <c r="P587" s="99"/>
      <c r="Q587" s="99"/>
      <c r="R587" s="99"/>
      <c r="S587" s="99"/>
      <c r="T587" s="99"/>
      <c r="U587" s="99"/>
      <c r="V587" s="99"/>
      <c r="W587" s="99"/>
      <c r="X587" s="99"/>
      <c r="Y587" s="99"/>
      <c r="Z587" s="99"/>
      <c r="AA587" s="99"/>
      <c r="AB587" s="99"/>
      <c r="AC587" s="95" t="str">
        <f t="shared" si="1"/>
        <v/>
      </c>
    </row>
    <row r="588" ht="15.75" customHeight="1">
      <c r="N588" s="99"/>
      <c r="O588" s="99"/>
      <c r="P588" s="99"/>
      <c r="Q588" s="99"/>
      <c r="R588" s="99"/>
      <c r="S588" s="99"/>
      <c r="T588" s="99"/>
      <c r="U588" s="99"/>
      <c r="V588" s="99"/>
      <c r="W588" s="99"/>
      <c r="X588" s="99"/>
      <c r="Y588" s="99"/>
      <c r="Z588" s="99"/>
      <c r="AA588" s="99"/>
      <c r="AB588" s="99"/>
      <c r="AC588" s="95" t="str">
        <f t="shared" si="1"/>
        <v/>
      </c>
    </row>
    <row r="589" ht="15.75" customHeight="1">
      <c r="N589" s="99"/>
      <c r="O589" s="99"/>
      <c r="P589" s="99"/>
      <c r="Q589" s="99"/>
      <c r="R589" s="99"/>
      <c r="S589" s="99"/>
      <c r="T589" s="99"/>
      <c r="U589" s="99"/>
      <c r="V589" s="99"/>
      <c r="W589" s="99"/>
      <c r="X589" s="99"/>
      <c r="Y589" s="99"/>
      <c r="Z589" s="99"/>
      <c r="AA589" s="99"/>
      <c r="AB589" s="99"/>
      <c r="AC589" s="95" t="str">
        <f t="shared" si="1"/>
        <v/>
      </c>
    </row>
    <row r="590" ht="15.75" customHeight="1">
      <c r="N590" s="99"/>
      <c r="O590" s="99"/>
      <c r="P590" s="99"/>
      <c r="Q590" s="99"/>
      <c r="R590" s="99"/>
      <c r="S590" s="99"/>
      <c r="T590" s="99"/>
      <c r="U590" s="99"/>
      <c r="V590" s="99"/>
      <c r="W590" s="99"/>
      <c r="X590" s="99"/>
      <c r="Y590" s="99"/>
      <c r="Z590" s="99"/>
      <c r="AA590" s="99"/>
      <c r="AB590" s="99"/>
      <c r="AC590" s="95" t="str">
        <f t="shared" si="1"/>
        <v/>
      </c>
    </row>
    <row r="591" ht="15.75" customHeight="1">
      <c r="N591" s="99"/>
      <c r="O591" s="99"/>
      <c r="P591" s="99"/>
      <c r="Q591" s="99"/>
      <c r="R591" s="99"/>
      <c r="S591" s="99"/>
      <c r="T591" s="99"/>
      <c r="U591" s="99"/>
      <c r="V591" s="99"/>
      <c r="W591" s="99"/>
      <c r="X591" s="99"/>
      <c r="Y591" s="99"/>
      <c r="Z591" s="99"/>
      <c r="AA591" s="99"/>
      <c r="AB591" s="99"/>
      <c r="AC591" s="95" t="str">
        <f t="shared" si="1"/>
        <v/>
      </c>
    </row>
    <row r="592" ht="15.75" customHeight="1">
      <c r="N592" s="99"/>
      <c r="O592" s="99"/>
      <c r="P592" s="99"/>
      <c r="Q592" s="99"/>
      <c r="R592" s="99"/>
      <c r="S592" s="99"/>
      <c r="T592" s="99"/>
      <c r="U592" s="99"/>
      <c r="V592" s="99"/>
      <c r="W592" s="99"/>
      <c r="X592" s="99"/>
      <c r="Y592" s="99"/>
      <c r="Z592" s="99"/>
      <c r="AA592" s="99"/>
      <c r="AB592" s="99"/>
      <c r="AC592" s="95" t="str">
        <f t="shared" si="1"/>
        <v/>
      </c>
    </row>
    <row r="593" ht="15.75" customHeight="1">
      <c r="N593" s="99"/>
      <c r="O593" s="99"/>
      <c r="P593" s="99"/>
      <c r="Q593" s="99"/>
      <c r="R593" s="99"/>
      <c r="S593" s="99"/>
      <c r="T593" s="99"/>
      <c r="U593" s="99"/>
      <c r="V593" s="99"/>
      <c r="W593" s="99"/>
      <c r="X593" s="99"/>
      <c r="Y593" s="99"/>
      <c r="Z593" s="99"/>
      <c r="AA593" s="99"/>
      <c r="AB593" s="99"/>
      <c r="AC593" s="95" t="str">
        <f t="shared" si="1"/>
        <v/>
      </c>
    </row>
    <row r="594" ht="15.75" customHeight="1">
      <c r="N594" s="99"/>
      <c r="O594" s="99"/>
      <c r="P594" s="99"/>
      <c r="Q594" s="99"/>
      <c r="R594" s="99"/>
      <c r="S594" s="99"/>
      <c r="T594" s="99"/>
      <c r="U594" s="99"/>
      <c r="V594" s="99"/>
      <c r="W594" s="99"/>
      <c r="X594" s="99"/>
      <c r="Y594" s="99"/>
      <c r="Z594" s="99"/>
      <c r="AA594" s="99"/>
      <c r="AB594" s="99"/>
      <c r="AC594" s="95" t="str">
        <f t="shared" si="1"/>
        <v/>
      </c>
    </row>
    <row r="595" ht="15.75" customHeight="1">
      <c r="N595" s="99"/>
      <c r="O595" s="99"/>
      <c r="P595" s="99"/>
      <c r="Q595" s="99"/>
      <c r="R595" s="99"/>
      <c r="S595" s="99"/>
      <c r="T595" s="99"/>
      <c r="U595" s="99"/>
      <c r="V595" s="99"/>
      <c r="W595" s="99"/>
      <c r="X595" s="99"/>
      <c r="Y595" s="99"/>
      <c r="Z595" s="99"/>
      <c r="AA595" s="99"/>
      <c r="AB595" s="99"/>
      <c r="AC595" s="95" t="str">
        <f t="shared" si="1"/>
        <v/>
      </c>
    </row>
    <row r="596" ht="15.75" customHeight="1">
      <c r="N596" s="99"/>
      <c r="O596" s="99"/>
      <c r="P596" s="99"/>
      <c r="Q596" s="99"/>
      <c r="R596" s="99"/>
      <c r="S596" s="99"/>
      <c r="T596" s="99"/>
      <c r="U596" s="99"/>
      <c r="V596" s="99"/>
      <c r="W596" s="99"/>
      <c r="X596" s="99"/>
      <c r="Y596" s="99"/>
      <c r="Z596" s="99"/>
      <c r="AA596" s="99"/>
      <c r="AB596" s="99"/>
      <c r="AC596" s="95" t="str">
        <f t="shared" si="1"/>
        <v/>
      </c>
    </row>
    <row r="597" ht="15.75" customHeight="1">
      <c r="N597" s="99"/>
      <c r="O597" s="99"/>
      <c r="P597" s="99"/>
      <c r="Q597" s="99"/>
      <c r="R597" s="99"/>
      <c r="S597" s="99"/>
      <c r="T597" s="99"/>
      <c r="U597" s="99"/>
      <c r="V597" s="99"/>
      <c r="W597" s="99"/>
      <c r="X597" s="99"/>
      <c r="Y597" s="99"/>
      <c r="Z597" s="99"/>
      <c r="AA597" s="99"/>
      <c r="AB597" s="99"/>
      <c r="AC597" s="95" t="str">
        <f t="shared" si="1"/>
        <v/>
      </c>
    </row>
    <row r="598" ht="15.75" customHeight="1">
      <c r="N598" s="99"/>
      <c r="O598" s="99"/>
      <c r="P598" s="99"/>
      <c r="Q598" s="99"/>
      <c r="R598" s="99"/>
      <c r="S598" s="99"/>
      <c r="T598" s="99"/>
      <c r="U598" s="99"/>
      <c r="V598" s="99"/>
      <c r="W598" s="99"/>
      <c r="X598" s="99"/>
      <c r="Y598" s="99"/>
      <c r="Z598" s="99"/>
      <c r="AA598" s="99"/>
      <c r="AB598" s="99"/>
      <c r="AC598" s="95" t="str">
        <f t="shared" si="1"/>
        <v/>
      </c>
    </row>
    <row r="599" ht="15.75" customHeight="1">
      <c r="N599" s="99"/>
      <c r="O599" s="99"/>
      <c r="P599" s="99"/>
      <c r="Q599" s="99"/>
      <c r="R599" s="99"/>
      <c r="S599" s="99"/>
      <c r="T599" s="99"/>
      <c r="U599" s="99"/>
      <c r="V599" s="99"/>
      <c r="W599" s="99"/>
      <c r="X599" s="99"/>
      <c r="Y599" s="99"/>
      <c r="Z599" s="99"/>
      <c r="AA599" s="99"/>
      <c r="AB599" s="99"/>
      <c r="AC599" s="95" t="str">
        <f t="shared" si="1"/>
        <v/>
      </c>
    </row>
    <row r="600" ht="15.75" customHeight="1">
      <c r="N600" s="99"/>
      <c r="O600" s="99"/>
      <c r="P600" s="99"/>
      <c r="Q600" s="99"/>
      <c r="R600" s="99"/>
      <c r="S600" s="99"/>
      <c r="T600" s="99"/>
      <c r="U600" s="99"/>
      <c r="V600" s="99"/>
      <c r="W600" s="99"/>
      <c r="X600" s="99"/>
      <c r="Y600" s="99"/>
      <c r="Z600" s="99"/>
      <c r="AA600" s="99"/>
      <c r="AB600" s="99"/>
      <c r="AC600" s="95" t="str">
        <f t="shared" si="1"/>
        <v/>
      </c>
    </row>
    <row r="601" ht="15.75" customHeight="1">
      <c r="N601" s="99"/>
      <c r="O601" s="99"/>
      <c r="P601" s="99"/>
      <c r="Q601" s="99"/>
      <c r="R601" s="99"/>
      <c r="S601" s="99"/>
      <c r="T601" s="99"/>
      <c r="U601" s="99"/>
      <c r="V601" s="99"/>
      <c r="W601" s="99"/>
      <c r="X601" s="99"/>
      <c r="Y601" s="99"/>
      <c r="Z601" s="99"/>
      <c r="AA601" s="99"/>
      <c r="AB601" s="99"/>
      <c r="AC601" s="95" t="str">
        <f t="shared" si="1"/>
        <v/>
      </c>
    </row>
    <row r="602" ht="15.75" customHeight="1">
      <c r="N602" s="99"/>
      <c r="O602" s="99"/>
      <c r="P602" s="99"/>
      <c r="Q602" s="99"/>
      <c r="R602" s="99"/>
      <c r="S602" s="99"/>
      <c r="T602" s="99"/>
      <c r="U602" s="99"/>
      <c r="V602" s="99"/>
      <c r="W602" s="99"/>
      <c r="X602" s="99"/>
      <c r="Y602" s="99"/>
      <c r="Z602" s="99"/>
      <c r="AA602" s="99"/>
      <c r="AB602" s="99"/>
      <c r="AC602" s="95" t="str">
        <f t="shared" si="1"/>
        <v/>
      </c>
    </row>
    <row r="603" ht="15.75" customHeight="1">
      <c r="N603" s="99"/>
      <c r="O603" s="99"/>
      <c r="P603" s="99"/>
      <c r="Q603" s="99"/>
      <c r="R603" s="99"/>
      <c r="S603" s="99"/>
      <c r="T603" s="99"/>
      <c r="U603" s="99"/>
      <c r="V603" s="99"/>
      <c r="W603" s="99"/>
      <c r="X603" s="99"/>
      <c r="Y603" s="99"/>
      <c r="Z603" s="99"/>
      <c r="AA603" s="99"/>
      <c r="AB603" s="99"/>
      <c r="AC603" s="95" t="str">
        <f t="shared" si="1"/>
        <v/>
      </c>
    </row>
    <row r="604" ht="15.75" customHeight="1">
      <c r="N604" s="99"/>
      <c r="O604" s="99"/>
      <c r="P604" s="99"/>
      <c r="Q604" s="99"/>
      <c r="R604" s="99"/>
      <c r="S604" s="99"/>
      <c r="T604" s="99"/>
      <c r="U604" s="99"/>
      <c r="V604" s="99"/>
      <c r="W604" s="99"/>
      <c r="X604" s="99"/>
      <c r="Y604" s="99"/>
      <c r="Z604" s="99"/>
      <c r="AA604" s="99"/>
      <c r="AB604" s="99"/>
      <c r="AC604" s="95" t="str">
        <f t="shared" si="1"/>
        <v/>
      </c>
    </row>
    <row r="605" ht="15.75" customHeight="1">
      <c r="N605" s="99"/>
      <c r="O605" s="99"/>
      <c r="P605" s="99"/>
      <c r="Q605" s="99"/>
      <c r="R605" s="99"/>
      <c r="S605" s="99"/>
      <c r="T605" s="99"/>
      <c r="U605" s="99"/>
      <c r="V605" s="99"/>
      <c r="W605" s="99"/>
      <c r="X605" s="99"/>
      <c r="Y605" s="99"/>
      <c r="Z605" s="99"/>
      <c r="AA605" s="99"/>
      <c r="AB605" s="99"/>
      <c r="AC605" s="95" t="str">
        <f t="shared" si="1"/>
        <v/>
      </c>
    </row>
    <row r="606" ht="15.75" customHeight="1">
      <c r="N606" s="99"/>
      <c r="O606" s="99"/>
      <c r="P606" s="99"/>
      <c r="Q606" s="99"/>
      <c r="R606" s="99"/>
      <c r="S606" s="99"/>
      <c r="T606" s="99"/>
      <c r="U606" s="99"/>
      <c r="V606" s="99"/>
      <c r="W606" s="99"/>
      <c r="X606" s="99"/>
      <c r="Y606" s="99"/>
      <c r="Z606" s="99"/>
      <c r="AA606" s="99"/>
      <c r="AB606" s="99"/>
      <c r="AC606" s="95" t="str">
        <f t="shared" si="1"/>
        <v/>
      </c>
    </row>
    <row r="607" ht="15.75" customHeight="1">
      <c r="N607" s="99"/>
      <c r="O607" s="99"/>
      <c r="P607" s="99"/>
      <c r="Q607" s="99"/>
      <c r="R607" s="99"/>
      <c r="S607" s="99"/>
      <c r="T607" s="99"/>
      <c r="U607" s="99"/>
      <c r="V607" s="99"/>
      <c r="W607" s="99"/>
      <c r="X607" s="99"/>
      <c r="Y607" s="99"/>
      <c r="Z607" s="99"/>
      <c r="AA607" s="99"/>
      <c r="AB607" s="99"/>
      <c r="AC607" s="95" t="str">
        <f t="shared" si="1"/>
        <v/>
      </c>
    </row>
    <row r="608" ht="15.75" customHeight="1">
      <c r="N608" s="99"/>
      <c r="O608" s="99"/>
      <c r="P608" s="99"/>
      <c r="Q608" s="99"/>
      <c r="R608" s="99"/>
      <c r="S608" s="99"/>
      <c r="T608" s="99"/>
      <c r="U608" s="99"/>
      <c r="V608" s="99"/>
      <c r="W608" s="99"/>
      <c r="X608" s="99"/>
      <c r="Y608" s="99"/>
      <c r="Z608" s="99"/>
      <c r="AA608" s="99"/>
      <c r="AB608" s="99"/>
      <c r="AC608" s="95" t="str">
        <f t="shared" si="1"/>
        <v/>
      </c>
    </row>
    <row r="609" ht="15.75" customHeight="1">
      <c r="N609" s="99"/>
      <c r="O609" s="99"/>
      <c r="P609" s="99"/>
      <c r="Q609" s="99"/>
      <c r="R609" s="99"/>
      <c r="S609" s="99"/>
      <c r="T609" s="99"/>
      <c r="U609" s="99"/>
      <c r="V609" s="99"/>
      <c r="W609" s="99"/>
      <c r="X609" s="99"/>
      <c r="Y609" s="99"/>
      <c r="Z609" s="99"/>
      <c r="AA609" s="99"/>
      <c r="AB609" s="99"/>
      <c r="AC609" s="95" t="str">
        <f t="shared" si="1"/>
        <v/>
      </c>
    </row>
    <row r="610" ht="15.75" customHeight="1">
      <c r="N610" s="99"/>
      <c r="O610" s="99"/>
      <c r="P610" s="99"/>
      <c r="Q610" s="99"/>
      <c r="R610" s="99"/>
      <c r="S610" s="99"/>
      <c r="T610" s="99"/>
      <c r="U610" s="99"/>
      <c r="V610" s="99"/>
      <c r="W610" s="99"/>
      <c r="X610" s="99"/>
      <c r="Y610" s="99"/>
      <c r="Z610" s="99"/>
      <c r="AA610" s="99"/>
      <c r="AB610" s="99"/>
      <c r="AC610" s="95" t="str">
        <f t="shared" si="1"/>
        <v/>
      </c>
    </row>
    <row r="611" ht="15.75" customHeight="1">
      <c r="N611" s="99"/>
      <c r="O611" s="99"/>
      <c r="P611" s="99"/>
      <c r="Q611" s="99"/>
      <c r="R611" s="99"/>
      <c r="S611" s="99"/>
      <c r="T611" s="99"/>
      <c r="U611" s="99"/>
      <c r="V611" s="99"/>
      <c r="W611" s="99"/>
      <c r="X611" s="99"/>
      <c r="Y611" s="99"/>
      <c r="Z611" s="99"/>
      <c r="AA611" s="99"/>
      <c r="AB611" s="99"/>
      <c r="AC611" s="95" t="str">
        <f t="shared" si="1"/>
        <v/>
      </c>
    </row>
    <row r="612" ht="15.75" customHeight="1">
      <c r="N612" s="99"/>
      <c r="O612" s="99"/>
      <c r="P612" s="99"/>
      <c r="Q612" s="99"/>
      <c r="R612" s="99"/>
      <c r="S612" s="99"/>
      <c r="T612" s="99"/>
      <c r="U612" s="99"/>
      <c r="V612" s="99"/>
      <c r="W612" s="99"/>
      <c r="X612" s="99"/>
      <c r="Y612" s="99"/>
      <c r="Z612" s="99"/>
      <c r="AA612" s="99"/>
      <c r="AB612" s="99"/>
      <c r="AC612" s="95" t="str">
        <f t="shared" si="1"/>
        <v/>
      </c>
    </row>
    <row r="613" ht="15.75" customHeight="1">
      <c r="N613" s="99"/>
      <c r="O613" s="99"/>
      <c r="P613" s="99"/>
      <c r="Q613" s="99"/>
      <c r="R613" s="99"/>
      <c r="S613" s="99"/>
      <c r="T613" s="99"/>
      <c r="U613" s="99"/>
      <c r="V613" s="99"/>
      <c r="W613" s="99"/>
      <c r="X613" s="99"/>
      <c r="Y613" s="99"/>
      <c r="Z613" s="99"/>
      <c r="AA613" s="99"/>
      <c r="AB613" s="99"/>
      <c r="AC613" s="95" t="str">
        <f t="shared" si="1"/>
        <v/>
      </c>
    </row>
    <row r="614" ht="15.75" customHeight="1">
      <c r="N614" s="99"/>
      <c r="O614" s="99"/>
      <c r="P614" s="99"/>
      <c r="Q614" s="99"/>
      <c r="R614" s="99"/>
      <c r="S614" s="99"/>
      <c r="T614" s="99"/>
      <c r="U614" s="99"/>
      <c r="V614" s="99"/>
      <c r="W614" s="99"/>
      <c r="X614" s="99"/>
      <c r="Y614" s="99"/>
      <c r="Z614" s="99"/>
      <c r="AA614" s="99"/>
      <c r="AB614" s="99"/>
      <c r="AC614" s="95" t="str">
        <f t="shared" si="1"/>
        <v/>
      </c>
    </row>
    <row r="615" ht="15.75" customHeight="1">
      <c r="N615" s="99"/>
      <c r="O615" s="99"/>
      <c r="P615" s="99"/>
      <c r="Q615" s="99"/>
      <c r="R615" s="99"/>
      <c r="S615" s="99"/>
      <c r="T615" s="99"/>
      <c r="U615" s="99"/>
      <c r="V615" s="99"/>
      <c r="W615" s="99"/>
      <c r="X615" s="99"/>
      <c r="Y615" s="99"/>
      <c r="Z615" s="99"/>
      <c r="AA615" s="99"/>
      <c r="AB615" s="99"/>
      <c r="AC615" s="95" t="str">
        <f t="shared" si="1"/>
        <v/>
      </c>
    </row>
    <row r="616" ht="15.75" customHeight="1">
      <c r="N616" s="99"/>
      <c r="O616" s="99"/>
      <c r="P616" s="99"/>
      <c r="Q616" s="99"/>
      <c r="R616" s="99"/>
      <c r="S616" s="99"/>
      <c r="T616" s="99"/>
      <c r="U616" s="99"/>
      <c r="V616" s="99"/>
      <c r="W616" s="99"/>
      <c r="X616" s="99"/>
      <c r="Y616" s="99"/>
      <c r="Z616" s="99"/>
      <c r="AA616" s="99"/>
      <c r="AB616" s="99"/>
      <c r="AC616" s="95" t="str">
        <f t="shared" si="1"/>
        <v/>
      </c>
    </row>
    <row r="617" ht="15.75" customHeight="1">
      <c r="N617" s="99"/>
      <c r="O617" s="99"/>
      <c r="P617" s="99"/>
      <c r="Q617" s="99"/>
      <c r="R617" s="99"/>
      <c r="S617" s="99"/>
      <c r="T617" s="99"/>
      <c r="U617" s="99"/>
      <c r="V617" s="99"/>
      <c r="W617" s="99"/>
      <c r="X617" s="99"/>
      <c r="Y617" s="99"/>
      <c r="Z617" s="99"/>
      <c r="AA617" s="99"/>
      <c r="AB617" s="99"/>
      <c r="AC617" s="95" t="str">
        <f t="shared" si="1"/>
        <v/>
      </c>
    </row>
    <row r="618" ht="15.75" customHeight="1">
      <c r="N618" s="99"/>
      <c r="O618" s="99"/>
      <c r="P618" s="99"/>
      <c r="Q618" s="99"/>
      <c r="R618" s="99"/>
      <c r="S618" s="99"/>
      <c r="T618" s="99"/>
      <c r="U618" s="99"/>
      <c r="V618" s="99"/>
      <c r="W618" s="99"/>
      <c r="X618" s="99"/>
      <c r="Y618" s="99"/>
      <c r="Z618" s="99"/>
      <c r="AA618" s="99"/>
      <c r="AB618" s="99"/>
      <c r="AC618" s="95" t="str">
        <f t="shared" si="1"/>
        <v/>
      </c>
    </row>
    <row r="619" ht="15.75" customHeight="1">
      <c r="N619" s="99"/>
      <c r="O619" s="99"/>
      <c r="P619" s="99"/>
      <c r="Q619" s="99"/>
      <c r="R619" s="99"/>
      <c r="S619" s="99"/>
      <c r="T619" s="99"/>
      <c r="U619" s="99"/>
      <c r="V619" s="99"/>
      <c r="W619" s="99"/>
      <c r="X619" s="99"/>
      <c r="Y619" s="99"/>
      <c r="Z619" s="99"/>
      <c r="AA619" s="99"/>
      <c r="AB619" s="99"/>
      <c r="AC619" s="95" t="str">
        <f t="shared" si="1"/>
        <v/>
      </c>
    </row>
    <row r="620" ht="15.75" customHeight="1">
      <c r="N620" s="99"/>
      <c r="O620" s="99"/>
      <c r="P620" s="99"/>
      <c r="Q620" s="99"/>
      <c r="R620" s="99"/>
      <c r="S620" s="99"/>
      <c r="T620" s="99"/>
      <c r="U620" s="99"/>
      <c r="V620" s="99"/>
      <c r="W620" s="99"/>
      <c r="X620" s="99"/>
      <c r="Y620" s="99"/>
      <c r="Z620" s="99"/>
      <c r="AA620" s="99"/>
      <c r="AB620" s="99"/>
      <c r="AC620" s="95" t="str">
        <f t="shared" si="1"/>
        <v/>
      </c>
    </row>
    <row r="621" ht="15.75" customHeight="1">
      <c r="N621" s="99"/>
      <c r="O621" s="99"/>
      <c r="P621" s="99"/>
      <c r="Q621" s="99"/>
      <c r="R621" s="99"/>
      <c r="S621" s="99"/>
      <c r="T621" s="99"/>
      <c r="U621" s="99"/>
      <c r="V621" s="99"/>
      <c r="W621" s="99"/>
      <c r="X621" s="99"/>
      <c r="Y621" s="99"/>
      <c r="Z621" s="99"/>
      <c r="AA621" s="99"/>
      <c r="AB621" s="99"/>
      <c r="AC621" s="95" t="str">
        <f t="shared" si="1"/>
        <v/>
      </c>
    </row>
    <row r="622" ht="15.75" customHeight="1">
      <c r="N622" s="99"/>
      <c r="O622" s="99"/>
      <c r="P622" s="99"/>
      <c r="Q622" s="99"/>
      <c r="R622" s="99"/>
      <c r="S622" s="99"/>
      <c r="T622" s="99"/>
      <c r="U622" s="99"/>
      <c r="V622" s="99"/>
      <c r="W622" s="99"/>
      <c r="X622" s="99"/>
      <c r="Y622" s="99"/>
      <c r="Z622" s="99"/>
      <c r="AA622" s="99"/>
      <c r="AB622" s="99"/>
      <c r="AC622" s="95" t="str">
        <f t="shared" si="1"/>
        <v/>
      </c>
    </row>
    <row r="623" ht="15.75" customHeight="1">
      <c r="N623" s="99"/>
      <c r="O623" s="99"/>
      <c r="P623" s="99"/>
      <c r="Q623" s="99"/>
      <c r="R623" s="99"/>
      <c r="S623" s="99"/>
      <c r="T623" s="99"/>
      <c r="U623" s="99"/>
      <c r="V623" s="99"/>
      <c r="W623" s="99"/>
      <c r="X623" s="99"/>
      <c r="Y623" s="99"/>
      <c r="Z623" s="99"/>
      <c r="AA623" s="99"/>
      <c r="AB623" s="99"/>
      <c r="AC623" s="95" t="str">
        <f t="shared" si="1"/>
        <v/>
      </c>
    </row>
    <row r="624" ht="15.75" customHeight="1">
      <c r="N624" s="99"/>
      <c r="O624" s="99"/>
      <c r="P624" s="99"/>
      <c r="Q624" s="99"/>
      <c r="R624" s="99"/>
      <c r="S624" s="99"/>
      <c r="T624" s="99"/>
      <c r="U624" s="99"/>
      <c r="V624" s="99"/>
      <c r="W624" s="99"/>
      <c r="X624" s="99"/>
      <c r="Y624" s="99"/>
      <c r="Z624" s="99"/>
      <c r="AA624" s="99"/>
      <c r="AB624" s="99"/>
      <c r="AC624" s="95" t="str">
        <f t="shared" si="1"/>
        <v/>
      </c>
    </row>
    <row r="625" ht="15.75" customHeight="1">
      <c r="N625" s="99"/>
      <c r="O625" s="99"/>
      <c r="P625" s="99"/>
      <c r="Q625" s="99"/>
      <c r="R625" s="99"/>
      <c r="S625" s="99"/>
      <c r="T625" s="99"/>
      <c r="U625" s="99"/>
      <c r="V625" s="99"/>
      <c r="W625" s="99"/>
      <c r="X625" s="99"/>
      <c r="Y625" s="99"/>
      <c r="Z625" s="99"/>
      <c r="AA625" s="99"/>
      <c r="AB625" s="99"/>
      <c r="AC625" s="95" t="str">
        <f t="shared" si="1"/>
        <v/>
      </c>
    </row>
    <row r="626" ht="15.75" customHeight="1">
      <c r="N626" s="99"/>
      <c r="O626" s="99"/>
      <c r="P626" s="99"/>
      <c r="Q626" s="99"/>
      <c r="R626" s="99"/>
      <c r="S626" s="99"/>
      <c r="T626" s="99"/>
      <c r="U626" s="99"/>
      <c r="V626" s="99"/>
      <c r="W626" s="99"/>
      <c r="X626" s="99"/>
      <c r="Y626" s="99"/>
      <c r="Z626" s="99"/>
      <c r="AA626" s="99"/>
      <c r="AB626" s="99"/>
      <c r="AC626" s="95" t="str">
        <f t="shared" si="1"/>
        <v/>
      </c>
    </row>
    <row r="627" ht="15.75" customHeight="1">
      <c r="N627" s="99"/>
      <c r="O627" s="99"/>
      <c r="P627" s="99"/>
      <c r="Q627" s="99"/>
      <c r="R627" s="99"/>
      <c r="S627" s="99"/>
      <c r="T627" s="99"/>
      <c r="U627" s="99"/>
      <c r="V627" s="99"/>
      <c r="W627" s="99"/>
      <c r="X627" s="99"/>
      <c r="Y627" s="99"/>
      <c r="Z627" s="99"/>
      <c r="AA627" s="99"/>
      <c r="AB627" s="99"/>
      <c r="AC627" s="95" t="str">
        <f t="shared" si="1"/>
        <v/>
      </c>
    </row>
    <row r="628" ht="15.75" customHeight="1">
      <c r="N628" s="99"/>
      <c r="O628" s="99"/>
      <c r="P628" s="99"/>
      <c r="Q628" s="99"/>
      <c r="R628" s="99"/>
      <c r="S628" s="99"/>
      <c r="T628" s="99"/>
      <c r="U628" s="99"/>
      <c r="V628" s="99"/>
      <c r="W628" s="99"/>
      <c r="X628" s="99"/>
      <c r="Y628" s="99"/>
      <c r="Z628" s="99"/>
      <c r="AA628" s="99"/>
      <c r="AB628" s="99"/>
      <c r="AC628" s="95" t="str">
        <f t="shared" si="1"/>
        <v/>
      </c>
    </row>
    <row r="629" ht="15.75" customHeight="1">
      <c r="N629" s="99"/>
      <c r="O629" s="99"/>
      <c r="P629" s="99"/>
      <c r="Q629" s="99"/>
      <c r="R629" s="99"/>
      <c r="S629" s="99"/>
      <c r="T629" s="99"/>
      <c r="U629" s="99"/>
      <c r="V629" s="99"/>
      <c r="W629" s="99"/>
      <c r="X629" s="99"/>
      <c r="Y629" s="99"/>
      <c r="Z629" s="99"/>
      <c r="AA629" s="99"/>
      <c r="AB629" s="99"/>
      <c r="AC629" s="95" t="str">
        <f t="shared" si="1"/>
        <v/>
      </c>
    </row>
    <row r="630" ht="15.75" customHeight="1">
      <c r="N630" s="99"/>
      <c r="O630" s="99"/>
      <c r="P630" s="99"/>
      <c r="Q630" s="99"/>
      <c r="R630" s="99"/>
      <c r="S630" s="99"/>
      <c r="T630" s="99"/>
      <c r="U630" s="99"/>
      <c r="V630" s="99"/>
      <c r="W630" s="99"/>
      <c r="X630" s="99"/>
      <c r="Y630" s="99"/>
      <c r="Z630" s="99"/>
      <c r="AA630" s="99"/>
      <c r="AB630" s="99"/>
      <c r="AC630" s="95" t="str">
        <f t="shared" si="1"/>
        <v/>
      </c>
    </row>
    <row r="631" ht="15.75" customHeight="1">
      <c r="N631" s="99"/>
      <c r="O631" s="99"/>
      <c r="P631" s="99"/>
      <c r="Q631" s="99"/>
      <c r="R631" s="99"/>
      <c r="S631" s="99"/>
      <c r="T631" s="99"/>
      <c r="U631" s="99"/>
      <c r="V631" s="99"/>
      <c r="W631" s="99"/>
      <c r="X631" s="99"/>
      <c r="Y631" s="99"/>
      <c r="Z631" s="99"/>
      <c r="AA631" s="99"/>
      <c r="AB631" s="99"/>
      <c r="AC631" s="95" t="str">
        <f t="shared" si="1"/>
        <v/>
      </c>
    </row>
    <row r="632" ht="15.75" customHeight="1">
      <c r="N632" s="99"/>
      <c r="O632" s="99"/>
      <c r="P632" s="99"/>
      <c r="Q632" s="99"/>
      <c r="R632" s="99"/>
      <c r="S632" s="99"/>
      <c r="T632" s="99"/>
      <c r="U632" s="99"/>
      <c r="V632" s="99"/>
      <c r="W632" s="99"/>
      <c r="X632" s="99"/>
      <c r="Y632" s="99"/>
      <c r="Z632" s="99"/>
      <c r="AA632" s="99"/>
      <c r="AB632" s="99"/>
      <c r="AC632" s="95" t="str">
        <f t="shared" si="1"/>
        <v/>
      </c>
    </row>
    <row r="633" ht="15.75" customHeight="1">
      <c r="N633" s="99"/>
      <c r="O633" s="99"/>
      <c r="P633" s="99"/>
      <c r="Q633" s="99"/>
      <c r="R633" s="99"/>
      <c r="S633" s="99"/>
      <c r="T633" s="99"/>
      <c r="U633" s="99"/>
      <c r="V633" s="99"/>
      <c r="W633" s="99"/>
      <c r="X633" s="99"/>
      <c r="Y633" s="99"/>
      <c r="Z633" s="99"/>
      <c r="AA633" s="99"/>
      <c r="AB633" s="99"/>
      <c r="AC633" s="95" t="str">
        <f t="shared" si="1"/>
        <v/>
      </c>
    </row>
    <row r="634" ht="15.75" customHeight="1">
      <c r="N634" s="99"/>
      <c r="O634" s="99"/>
      <c r="P634" s="99"/>
      <c r="Q634" s="99"/>
      <c r="R634" s="99"/>
      <c r="S634" s="99"/>
      <c r="T634" s="99"/>
      <c r="U634" s="99"/>
      <c r="V634" s="99"/>
      <c r="W634" s="99"/>
      <c r="X634" s="99"/>
      <c r="Y634" s="99"/>
      <c r="Z634" s="99"/>
      <c r="AA634" s="99"/>
      <c r="AB634" s="99"/>
      <c r="AC634" s="95" t="str">
        <f t="shared" si="1"/>
        <v/>
      </c>
    </row>
    <row r="635" ht="15.75" customHeight="1">
      <c r="N635" s="99"/>
      <c r="O635" s="99"/>
      <c r="P635" s="99"/>
      <c r="Q635" s="99"/>
      <c r="R635" s="99"/>
      <c r="S635" s="99"/>
      <c r="T635" s="99"/>
      <c r="U635" s="99"/>
      <c r="V635" s="99"/>
      <c r="W635" s="99"/>
      <c r="X635" s="99"/>
      <c r="Y635" s="99"/>
      <c r="Z635" s="99"/>
      <c r="AA635" s="99"/>
      <c r="AB635" s="99"/>
      <c r="AC635" s="95" t="str">
        <f t="shared" si="1"/>
        <v/>
      </c>
    </row>
    <row r="636" ht="15.75" customHeight="1">
      <c r="N636" s="99"/>
      <c r="O636" s="99"/>
      <c r="P636" s="99"/>
      <c r="Q636" s="99"/>
      <c r="R636" s="99"/>
      <c r="S636" s="99"/>
      <c r="T636" s="99"/>
      <c r="U636" s="99"/>
      <c r="V636" s="99"/>
      <c r="W636" s="99"/>
      <c r="X636" s="99"/>
      <c r="Y636" s="99"/>
      <c r="Z636" s="99"/>
      <c r="AA636" s="99"/>
      <c r="AB636" s="99"/>
      <c r="AC636" s="95" t="str">
        <f t="shared" si="1"/>
        <v/>
      </c>
    </row>
    <row r="637" ht="15.75" customHeight="1">
      <c r="N637" s="99"/>
      <c r="O637" s="99"/>
      <c r="P637" s="99"/>
      <c r="Q637" s="99"/>
      <c r="R637" s="99"/>
      <c r="S637" s="99"/>
      <c r="T637" s="99"/>
      <c r="U637" s="99"/>
      <c r="V637" s="99"/>
      <c r="W637" s="99"/>
      <c r="X637" s="99"/>
      <c r="Y637" s="99"/>
      <c r="Z637" s="99"/>
      <c r="AA637" s="99"/>
      <c r="AB637" s="99"/>
      <c r="AC637" s="95" t="str">
        <f t="shared" si="1"/>
        <v/>
      </c>
    </row>
    <row r="638" ht="15.75" customHeight="1">
      <c r="N638" s="99"/>
      <c r="O638" s="99"/>
      <c r="P638" s="99"/>
      <c r="Q638" s="99"/>
      <c r="R638" s="99"/>
      <c r="S638" s="99"/>
      <c r="T638" s="99"/>
      <c r="U638" s="99"/>
      <c r="V638" s="99"/>
      <c r="W638" s="99"/>
      <c r="X638" s="99"/>
      <c r="Y638" s="99"/>
      <c r="Z638" s="99"/>
      <c r="AA638" s="99"/>
      <c r="AB638" s="99"/>
      <c r="AC638" s="95" t="str">
        <f t="shared" si="1"/>
        <v/>
      </c>
    </row>
    <row r="639" ht="15.75" customHeight="1">
      <c r="N639" s="99"/>
      <c r="O639" s="99"/>
      <c r="P639" s="99"/>
      <c r="Q639" s="99"/>
      <c r="R639" s="99"/>
      <c r="S639" s="99"/>
      <c r="T639" s="99"/>
      <c r="U639" s="99"/>
      <c r="V639" s="99"/>
      <c r="W639" s="99"/>
      <c r="X639" s="99"/>
      <c r="Y639" s="99"/>
      <c r="Z639" s="99"/>
      <c r="AA639" s="99"/>
      <c r="AB639" s="99"/>
      <c r="AC639" s="95" t="str">
        <f t="shared" si="1"/>
        <v/>
      </c>
    </row>
    <row r="640" ht="15.75" customHeight="1">
      <c r="N640" s="99"/>
      <c r="O640" s="99"/>
      <c r="P640" s="99"/>
      <c r="Q640" s="99"/>
      <c r="R640" s="99"/>
      <c r="S640" s="99"/>
      <c r="T640" s="99"/>
      <c r="U640" s="99"/>
      <c r="V640" s="99"/>
      <c r="W640" s="99"/>
      <c r="X640" s="99"/>
      <c r="Y640" s="99"/>
      <c r="Z640" s="99"/>
      <c r="AA640" s="99"/>
      <c r="AB640" s="99"/>
      <c r="AC640" s="95" t="str">
        <f t="shared" si="1"/>
        <v/>
      </c>
    </row>
    <row r="641" ht="15.75" customHeight="1">
      <c r="N641" s="99"/>
      <c r="O641" s="99"/>
      <c r="P641" s="99"/>
      <c r="Q641" s="99"/>
      <c r="R641" s="99"/>
      <c r="S641" s="99"/>
      <c r="T641" s="99"/>
      <c r="U641" s="99"/>
      <c r="V641" s="99"/>
      <c r="W641" s="99"/>
      <c r="X641" s="99"/>
      <c r="Y641" s="99"/>
      <c r="Z641" s="99"/>
      <c r="AA641" s="99"/>
      <c r="AB641" s="99"/>
      <c r="AC641" s="95" t="str">
        <f t="shared" si="1"/>
        <v/>
      </c>
    </row>
    <row r="642" ht="15.75" customHeight="1">
      <c r="N642" s="99"/>
      <c r="O642" s="99"/>
      <c r="P642" s="99"/>
      <c r="Q642" s="99"/>
      <c r="R642" s="99"/>
      <c r="S642" s="99"/>
      <c r="T642" s="99"/>
      <c r="U642" s="99"/>
      <c r="V642" s="99"/>
      <c r="W642" s="99"/>
      <c r="X642" s="99"/>
      <c r="Y642" s="99"/>
      <c r="Z642" s="99"/>
      <c r="AA642" s="99"/>
      <c r="AB642" s="99"/>
      <c r="AC642" s="95" t="str">
        <f t="shared" si="1"/>
        <v/>
      </c>
    </row>
    <row r="643" ht="15.75" customHeight="1">
      <c r="N643" s="99"/>
      <c r="O643" s="99"/>
      <c r="P643" s="99"/>
      <c r="Q643" s="99"/>
      <c r="R643" s="99"/>
      <c r="S643" s="99"/>
      <c r="T643" s="99"/>
      <c r="U643" s="99"/>
      <c r="V643" s="99"/>
      <c r="W643" s="99"/>
      <c r="X643" s="99"/>
      <c r="Y643" s="99"/>
      <c r="Z643" s="99"/>
      <c r="AA643" s="99"/>
      <c r="AB643" s="99"/>
      <c r="AC643" s="95" t="str">
        <f t="shared" si="1"/>
        <v/>
      </c>
    </row>
    <row r="644" ht="15.75" customHeight="1">
      <c r="N644" s="99"/>
      <c r="O644" s="99"/>
      <c r="P644" s="99"/>
      <c r="Q644" s="99"/>
      <c r="R644" s="99"/>
      <c r="S644" s="99"/>
      <c r="T644" s="99"/>
      <c r="U644" s="99"/>
      <c r="V644" s="99"/>
      <c r="W644" s="99"/>
      <c r="X644" s="99"/>
      <c r="Y644" s="99"/>
      <c r="Z644" s="99"/>
      <c r="AA644" s="99"/>
      <c r="AB644" s="99"/>
      <c r="AC644" s="95" t="str">
        <f t="shared" si="1"/>
        <v/>
      </c>
    </row>
    <row r="645" ht="15.75" customHeight="1">
      <c r="N645" s="99"/>
      <c r="O645" s="99"/>
      <c r="P645" s="99"/>
      <c r="Q645" s="99"/>
      <c r="R645" s="99"/>
      <c r="S645" s="99"/>
      <c r="T645" s="99"/>
      <c r="U645" s="99"/>
      <c r="V645" s="99"/>
      <c r="W645" s="99"/>
      <c r="X645" s="99"/>
      <c r="Y645" s="99"/>
      <c r="Z645" s="99"/>
      <c r="AA645" s="99"/>
      <c r="AB645" s="99"/>
      <c r="AC645" s="95" t="str">
        <f t="shared" si="1"/>
        <v/>
      </c>
    </row>
    <row r="646" ht="15.75" customHeight="1">
      <c r="N646" s="99"/>
      <c r="O646" s="99"/>
      <c r="P646" s="99"/>
      <c r="Q646" s="99"/>
      <c r="R646" s="99"/>
      <c r="S646" s="99"/>
      <c r="T646" s="99"/>
      <c r="U646" s="99"/>
      <c r="V646" s="99"/>
      <c r="W646" s="99"/>
      <c r="X646" s="99"/>
      <c r="Y646" s="99"/>
      <c r="Z646" s="99"/>
      <c r="AA646" s="99"/>
      <c r="AB646" s="99"/>
      <c r="AC646" s="95" t="str">
        <f t="shared" si="1"/>
        <v/>
      </c>
    </row>
    <row r="647" ht="15.75" customHeight="1">
      <c r="N647" s="99"/>
      <c r="O647" s="99"/>
      <c r="P647" s="99"/>
      <c r="Q647" s="99"/>
      <c r="R647" s="99"/>
      <c r="S647" s="99"/>
      <c r="T647" s="99"/>
      <c r="U647" s="99"/>
      <c r="V647" s="99"/>
      <c r="W647" s="99"/>
      <c r="X647" s="99"/>
      <c r="Y647" s="99"/>
      <c r="Z647" s="99"/>
      <c r="AA647" s="99"/>
      <c r="AB647" s="99"/>
      <c r="AC647" s="95" t="str">
        <f t="shared" si="1"/>
        <v/>
      </c>
    </row>
    <row r="648" ht="15.75" customHeight="1">
      <c r="N648" s="99"/>
      <c r="O648" s="99"/>
      <c r="P648" s="99"/>
      <c r="Q648" s="99"/>
      <c r="R648" s="99"/>
      <c r="S648" s="99"/>
      <c r="T648" s="99"/>
      <c r="U648" s="99"/>
      <c r="V648" s="99"/>
      <c r="W648" s="99"/>
      <c r="X648" s="99"/>
      <c r="Y648" s="99"/>
      <c r="Z648" s="99"/>
      <c r="AA648" s="99"/>
      <c r="AB648" s="99"/>
      <c r="AC648" s="95" t="str">
        <f t="shared" si="1"/>
        <v/>
      </c>
    </row>
    <row r="649" ht="15.75" customHeight="1">
      <c r="N649" s="99"/>
      <c r="O649" s="99"/>
      <c r="P649" s="99"/>
      <c r="Q649" s="99"/>
      <c r="R649" s="99"/>
      <c r="S649" s="99"/>
      <c r="T649" s="99"/>
      <c r="U649" s="99"/>
      <c r="V649" s="99"/>
      <c r="W649" s="99"/>
      <c r="X649" s="99"/>
      <c r="Y649" s="99"/>
      <c r="Z649" s="99"/>
      <c r="AA649" s="99"/>
      <c r="AB649" s="99"/>
      <c r="AC649" s="95" t="str">
        <f t="shared" si="1"/>
        <v/>
      </c>
    </row>
    <row r="650" ht="15.75" customHeight="1">
      <c r="N650" s="99"/>
      <c r="O650" s="99"/>
      <c r="P650" s="99"/>
      <c r="Q650" s="99"/>
      <c r="R650" s="99"/>
      <c r="S650" s="99"/>
      <c r="T650" s="99"/>
      <c r="U650" s="99"/>
      <c r="V650" s="99"/>
      <c r="W650" s="99"/>
      <c r="X650" s="99"/>
      <c r="Y650" s="99"/>
      <c r="Z650" s="99"/>
      <c r="AA650" s="99"/>
      <c r="AB650" s="99"/>
      <c r="AC650" s="95" t="str">
        <f t="shared" si="1"/>
        <v/>
      </c>
    </row>
    <row r="651" ht="15.75" customHeight="1">
      <c r="N651" s="99"/>
      <c r="O651" s="99"/>
      <c r="P651" s="99"/>
      <c r="Q651" s="99"/>
      <c r="R651" s="99"/>
      <c r="S651" s="99"/>
      <c r="T651" s="99"/>
      <c r="U651" s="99"/>
      <c r="V651" s="99"/>
      <c r="W651" s="99"/>
      <c r="X651" s="99"/>
      <c r="Y651" s="99"/>
      <c r="Z651" s="99"/>
      <c r="AA651" s="99"/>
      <c r="AB651" s="99"/>
      <c r="AC651" s="95" t="str">
        <f t="shared" si="1"/>
        <v/>
      </c>
    </row>
    <row r="652" ht="15.75" customHeight="1">
      <c r="N652" s="99"/>
      <c r="O652" s="99"/>
      <c r="P652" s="99"/>
      <c r="Q652" s="99"/>
      <c r="R652" s="99"/>
      <c r="S652" s="99"/>
      <c r="T652" s="99"/>
      <c r="U652" s="99"/>
      <c r="V652" s="99"/>
      <c r="W652" s="99"/>
      <c r="X652" s="99"/>
      <c r="Y652" s="99"/>
      <c r="Z652" s="99"/>
      <c r="AA652" s="99"/>
      <c r="AB652" s="99"/>
      <c r="AC652" s="95" t="str">
        <f t="shared" si="1"/>
        <v/>
      </c>
    </row>
    <row r="653" ht="15.75" customHeight="1">
      <c r="N653" s="99"/>
      <c r="O653" s="99"/>
      <c r="P653" s="99"/>
      <c r="Q653" s="99"/>
      <c r="R653" s="99"/>
      <c r="S653" s="99"/>
      <c r="T653" s="99"/>
      <c r="U653" s="99"/>
      <c r="V653" s="99"/>
      <c r="W653" s="99"/>
      <c r="X653" s="99"/>
      <c r="Y653" s="99"/>
      <c r="Z653" s="99"/>
      <c r="AA653" s="99"/>
      <c r="AB653" s="99"/>
      <c r="AC653" s="95" t="str">
        <f t="shared" si="1"/>
        <v/>
      </c>
    </row>
    <row r="654" ht="15.75" customHeight="1">
      <c r="N654" s="99"/>
      <c r="O654" s="99"/>
      <c r="P654" s="99"/>
      <c r="Q654" s="99"/>
      <c r="R654" s="99"/>
      <c r="S654" s="99"/>
      <c r="T654" s="99"/>
      <c r="U654" s="99"/>
      <c r="V654" s="99"/>
      <c r="W654" s="99"/>
      <c r="X654" s="99"/>
      <c r="Y654" s="99"/>
      <c r="Z654" s="99"/>
      <c r="AA654" s="99"/>
      <c r="AB654" s="99"/>
      <c r="AC654" s="95" t="str">
        <f t="shared" si="1"/>
        <v/>
      </c>
    </row>
    <row r="655" ht="15.75" customHeight="1">
      <c r="N655" s="99"/>
      <c r="O655" s="99"/>
      <c r="P655" s="99"/>
      <c r="Q655" s="99"/>
      <c r="R655" s="99"/>
      <c r="S655" s="99"/>
      <c r="T655" s="99"/>
      <c r="U655" s="99"/>
      <c r="V655" s="99"/>
      <c r="W655" s="99"/>
      <c r="X655" s="99"/>
      <c r="Y655" s="99"/>
      <c r="Z655" s="99"/>
      <c r="AA655" s="99"/>
      <c r="AB655" s="99"/>
      <c r="AC655" s="95" t="str">
        <f t="shared" si="1"/>
        <v/>
      </c>
    </row>
    <row r="656" ht="15.75" customHeight="1">
      <c r="N656" s="99"/>
      <c r="O656" s="99"/>
      <c r="P656" s="99"/>
      <c r="Q656" s="99"/>
      <c r="R656" s="99"/>
      <c r="S656" s="99"/>
      <c r="T656" s="99"/>
      <c r="U656" s="99"/>
      <c r="V656" s="99"/>
      <c r="W656" s="99"/>
      <c r="X656" s="99"/>
      <c r="Y656" s="99"/>
      <c r="Z656" s="99"/>
      <c r="AA656" s="99"/>
      <c r="AB656" s="99"/>
      <c r="AC656" s="95" t="str">
        <f t="shared" si="1"/>
        <v/>
      </c>
    </row>
    <row r="657" ht="15.75" customHeight="1">
      <c r="N657" s="99"/>
      <c r="O657" s="99"/>
      <c r="P657" s="99"/>
      <c r="Q657" s="99"/>
      <c r="R657" s="99"/>
      <c r="S657" s="99"/>
      <c r="T657" s="99"/>
      <c r="U657" s="99"/>
      <c r="V657" s="99"/>
      <c r="W657" s="99"/>
      <c r="X657" s="99"/>
      <c r="Y657" s="99"/>
      <c r="Z657" s="99"/>
      <c r="AA657" s="99"/>
      <c r="AB657" s="99"/>
      <c r="AC657" s="95" t="str">
        <f t="shared" si="1"/>
        <v/>
      </c>
    </row>
    <row r="658" ht="15.75" customHeight="1">
      <c r="N658" s="99"/>
      <c r="O658" s="99"/>
      <c r="P658" s="99"/>
      <c r="Q658" s="99"/>
      <c r="R658" s="99"/>
      <c r="S658" s="99"/>
      <c r="T658" s="99"/>
      <c r="U658" s="99"/>
      <c r="V658" s="99"/>
      <c r="W658" s="99"/>
      <c r="X658" s="99"/>
      <c r="Y658" s="99"/>
      <c r="Z658" s="99"/>
      <c r="AA658" s="99"/>
      <c r="AB658" s="99"/>
      <c r="AC658" s="95" t="str">
        <f t="shared" si="1"/>
        <v/>
      </c>
    </row>
    <row r="659" ht="15.75" customHeight="1">
      <c r="N659" s="99"/>
      <c r="O659" s="99"/>
      <c r="P659" s="99"/>
      <c r="Q659" s="99"/>
      <c r="R659" s="99"/>
      <c r="S659" s="99"/>
      <c r="T659" s="99"/>
      <c r="U659" s="99"/>
      <c r="V659" s="99"/>
      <c r="W659" s="99"/>
      <c r="X659" s="99"/>
      <c r="Y659" s="99"/>
      <c r="Z659" s="99"/>
      <c r="AA659" s="99"/>
      <c r="AB659" s="99"/>
      <c r="AC659" s="95" t="str">
        <f t="shared" si="1"/>
        <v/>
      </c>
    </row>
    <row r="660" ht="15.75" customHeight="1">
      <c r="N660" s="99"/>
      <c r="O660" s="99"/>
      <c r="P660" s="99"/>
      <c r="Q660" s="99"/>
      <c r="R660" s="99"/>
      <c r="S660" s="99"/>
      <c r="T660" s="99"/>
      <c r="U660" s="99"/>
      <c r="V660" s="99"/>
      <c r="W660" s="99"/>
      <c r="X660" s="99"/>
      <c r="Y660" s="99"/>
      <c r="Z660" s="99"/>
      <c r="AA660" s="99"/>
      <c r="AB660" s="99"/>
      <c r="AC660" s="95" t="str">
        <f t="shared" si="1"/>
        <v/>
      </c>
    </row>
    <row r="661" ht="15.75" customHeight="1">
      <c r="N661" s="99"/>
      <c r="O661" s="99"/>
      <c r="P661" s="99"/>
      <c r="Q661" s="99"/>
      <c r="R661" s="99"/>
      <c r="S661" s="99"/>
      <c r="T661" s="99"/>
      <c r="U661" s="99"/>
      <c r="V661" s="99"/>
      <c r="W661" s="99"/>
      <c r="X661" s="99"/>
      <c r="Y661" s="99"/>
      <c r="Z661" s="99"/>
      <c r="AA661" s="99"/>
      <c r="AB661" s="99"/>
      <c r="AC661" s="95" t="str">
        <f t="shared" si="1"/>
        <v/>
      </c>
    </row>
    <row r="662" ht="15.75" customHeight="1">
      <c r="N662" s="99"/>
      <c r="O662" s="99"/>
      <c r="P662" s="99"/>
      <c r="Q662" s="99"/>
      <c r="R662" s="99"/>
      <c r="S662" s="99"/>
      <c r="T662" s="99"/>
      <c r="U662" s="99"/>
      <c r="V662" s="99"/>
      <c r="W662" s="99"/>
      <c r="X662" s="99"/>
      <c r="Y662" s="99"/>
      <c r="Z662" s="99"/>
      <c r="AA662" s="99"/>
      <c r="AB662" s="99"/>
      <c r="AC662" s="95" t="str">
        <f t="shared" si="1"/>
        <v/>
      </c>
    </row>
    <row r="663" ht="15.75" customHeight="1">
      <c r="N663" s="99"/>
      <c r="O663" s="99"/>
      <c r="P663" s="99"/>
      <c r="Q663" s="99"/>
      <c r="R663" s="99"/>
      <c r="S663" s="99"/>
      <c r="T663" s="99"/>
      <c r="U663" s="99"/>
      <c r="V663" s="99"/>
      <c r="W663" s="99"/>
      <c r="X663" s="99"/>
      <c r="Y663" s="99"/>
      <c r="Z663" s="99"/>
      <c r="AA663" s="99"/>
      <c r="AB663" s="99"/>
      <c r="AC663" s="95" t="str">
        <f t="shared" si="1"/>
        <v/>
      </c>
    </row>
    <row r="664" ht="15.75" customHeight="1">
      <c r="N664" s="99"/>
      <c r="O664" s="99"/>
      <c r="P664" s="99"/>
      <c r="Q664" s="99"/>
      <c r="R664" s="99"/>
      <c r="S664" s="99"/>
      <c r="T664" s="99"/>
      <c r="U664" s="99"/>
      <c r="V664" s="99"/>
      <c r="W664" s="99"/>
      <c r="X664" s="99"/>
      <c r="Y664" s="99"/>
      <c r="Z664" s="99"/>
      <c r="AA664" s="99"/>
      <c r="AB664" s="99"/>
      <c r="AC664" s="95" t="str">
        <f t="shared" si="1"/>
        <v/>
      </c>
    </row>
    <row r="665" ht="15.75" customHeight="1">
      <c r="N665" s="99"/>
      <c r="O665" s="99"/>
      <c r="P665" s="99"/>
      <c r="Q665" s="99"/>
      <c r="R665" s="99"/>
      <c r="S665" s="99"/>
      <c r="T665" s="99"/>
      <c r="U665" s="99"/>
      <c r="V665" s="99"/>
      <c r="W665" s="99"/>
      <c r="X665" s="99"/>
      <c r="Y665" s="99"/>
      <c r="Z665" s="99"/>
      <c r="AA665" s="99"/>
      <c r="AB665" s="99"/>
      <c r="AC665" s="95" t="str">
        <f t="shared" si="1"/>
        <v/>
      </c>
    </row>
    <row r="666" ht="15.75" customHeight="1">
      <c r="N666" s="99"/>
      <c r="O666" s="99"/>
      <c r="P666" s="99"/>
      <c r="Q666" s="99"/>
      <c r="R666" s="99"/>
      <c r="S666" s="99"/>
      <c r="T666" s="99"/>
      <c r="U666" s="99"/>
      <c r="V666" s="99"/>
      <c r="W666" s="99"/>
      <c r="X666" s="99"/>
      <c r="Y666" s="99"/>
      <c r="Z666" s="99"/>
      <c r="AA666" s="99"/>
      <c r="AB666" s="99"/>
      <c r="AC666" s="95" t="str">
        <f t="shared" si="1"/>
        <v/>
      </c>
    </row>
    <row r="667" ht="15.75" customHeight="1">
      <c r="N667" s="99"/>
      <c r="O667" s="99"/>
      <c r="P667" s="99"/>
      <c r="Q667" s="99"/>
      <c r="R667" s="99"/>
      <c r="S667" s="99"/>
      <c r="T667" s="99"/>
      <c r="U667" s="99"/>
      <c r="V667" s="99"/>
      <c r="W667" s="99"/>
      <c r="X667" s="99"/>
      <c r="Y667" s="99"/>
      <c r="Z667" s="99"/>
      <c r="AA667" s="99"/>
      <c r="AB667" s="99"/>
      <c r="AC667" s="95" t="str">
        <f t="shared" si="1"/>
        <v/>
      </c>
    </row>
    <row r="668" ht="15.75" customHeight="1">
      <c r="N668" s="99"/>
      <c r="O668" s="99"/>
      <c r="P668" s="99"/>
      <c r="Q668" s="99"/>
      <c r="R668" s="99"/>
      <c r="S668" s="99"/>
      <c r="T668" s="99"/>
      <c r="U668" s="99"/>
      <c r="V668" s="99"/>
      <c r="W668" s="99"/>
      <c r="X668" s="99"/>
      <c r="Y668" s="99"/>
      <c r="Z668" s="99"/>
      <c r="AA668" s="99"/>
      <c r="AB668" s="99"/>
      <c r="AC668" s="95" t="str">
        <f t="shared" si="1"/>
        <v/>
      </c>
    </row>
    <row r="669" ht="15.75" customHeight="1">
      <c r="N669" s="99"/>
      <c r="O669" s="99"/>
      <c r="P669" s="99"/>
      <c r="Q669" s="99"/>
      <c r="R669" s="99"/>
      <c r="S669" s="99"/>
      <c r="T669" s="99"/>
      <c r="U669" s="99"/>
      <c r="V669" s="99"/>
      <c r="W669" s="99"/>
      <c r="X669" s="99"/>
      <c r="Y669" s="99"/>
      <c r="Z669" s="99"/>
      <c r="AA669" s="99"/>
      <c r="AB669" s="99"/>
      <c r="AC669" s="95" t="str">
        <f t="shared" si="1"/>
        <v/>
      </c>
    </row>
    <row r="670" ht="15.75" customHeight="1">
      <c r="N670" s="99"/>
      <c r="O670" s="99"/>
      <c r="P670" s="99"/>
      <c r="Q670" s="99"/>
      <c r="R670" s="99"/>
      <c r="S670" s="99"/>
      <c r="T670" s="99"/>
      <c r="U670" s="99"/>
      <c r="V670" s="99"/>
      <c r="W670" s="99"/>
      <c r="X670" s="99"/>
      <c r="Y670" s="99"/>
      <c r="Z670" s="99"/>
      <c r="AA670" s="99"/>
      <c r="AB670" s="99"/>
      <c r="AC670" s="95" t="str">
        <f t="shared" si="1"/>
        <v/>
      </c>
    </row>
    <row r="671" ht="15.75" customHeight="1">
      <c r="N671" s="99"/>
      <c r="O671" s="99"/>
      <c r="P671" s="99"/>
      <c r="Q671" s="99"/>
      <c r="R671" s="99"/>
      <c r="S671" s="99"/>
      <c r="T671" s="99"/>
      <c r="U671" s="99"/>
      <c r="V671" s="99"/>
      <c r="W671" s="99"/>
      <c r="X671" s="99"/>
      <c r="Y671" s="99"/>
      <c r="Z671" s="99"/>
      <c r="AA671" s="99"/>
      <c r="AB671" s="99"/>
      <c r="AC671" s="95" t="str">
        <f t="shared" si="1"/>
        <v/>
      </c>
    </row>
    <row r="672" ht="15.75" customHeight="1">
      <c r="N672" s="99"/>
      <c r="O672" s="99"/>
      <c r="P672" s="99"/>
      <c r="Q672" s="99"/>
      <c r="R672" s="99"/>
      <c r="S672" s="99"/>
      <c r="T672" s="99"/>
      <c r="U672" s="99"/>
      <c r="V672" s="99"/>
      <c r="W672" s="99"/>
      <c r="X672" s="99"/>
      <c r="Y672" s="99"/>
      <c r="Z672" s="99"/>
      <c r="AA672" s="99"/>
      <c r="AB672" s="99"/>
      <c r="AC672" s="95" t="str">
        <f t="shared" si="1"/>
        <v/>
      </c>
    </row>
    <row r="673" ht="15.75" customHeight="1">
      <c r="N673" s="99"/>
      <c r="O673" s="99"/>
      <c r="P673" s="99"/>
      <c r="Q673" s="99"/>
      <c r="R673" s="99"/>
      <c r="S673" s="99"/>
      <c r="T673" s="99"/>
      <c r="U673" s="99"/>
      <c r="V673" s="99"/>
      <c r="W673" s="99"/>
      <c r="X673" s="99"/>
      <c r="Y673" s="99"/>
      <c r="Z673" s="99"/>
      <c r="AA673" s="99"/>
      <c r="AB673" s="99"/>
      <c r="AC673" s="95" t="str">
        <f t="shared" si="1"/>
        <v/>
      </c>
    </row>
    <row r="674" ht="15.75" customHeight="1">
      <c r="N674" s="99"/>
      <c r="O674" s="99"/>
      <c r="P674" s="99"/>
      <c r="Q674" s="99"/>
      <c r="R674" s="99"/>
      <c r="S674" s="99"/>
      <c r="T674" s="99"/>
      <c r="U674" s="99"/>
      <c r="V674" s="99"/>
      <c r="W674" s="99"/>
      <c r="X674" s="99"/>
      <c r="Y674" s="99"/>
      <c r="Z674" s="99"/>
      <c r="AA674" s="99"/>
      <c r="AB674" s="99"/>
      <c r="AC674" s="95" t="str">
        <f t="shared" si="1"/>
        <v/>
      </c>
    </row>
    <row r="675" ht="15.75" customHeight="1">
      <c r="N675" s="99"/>
      <c r="O675" s="99"/>
      <c r="P675" s="99"/>
      <c r="Q675" s="99"/>
      <c r="R675" s="99"/>
      <c r="S675" s="99"/>
      <c r="T675" s="99"/>
      <c r="U675" s="99"/>
      <c r="V675" s="99"/>
      <c r="W675" s="99"/>
      <c r="X675" s="99"/>
      <c r="Y675" s="99"/>
      <c r="Z675" s="99"/>
      <c r="AA675" s="99"/>
      <c r="AB675" s="99"/>
      <c r="AC675" s="95" t="str">
        <f t="shared" si="1"/>
        <v/>
      </c>
    </row>
    <row r="676" ht="15.75" customHeight="1">
      <c r="N676" s="99"/>
      <c r="O676" s="99"/>
      <c r="P676" s="99"/>
      <c r="Q676" s="99"/>
      <c r="R676" s="99"/>
      <c r="S676" s="99"/>
      <c r="T676" s="99"/>
      <c r="U676" s="99"/>
      <c r="V676" s="99"/>
      <c r="W676" s="99"/>
      <c r="X676" s="99"/>
      <c r="Y676" s="99"/>
      <c r="Z676" s="99"/>
      <c r="AA676" s="99"/>
      <c r="AB676" s="99"/>
      <c r="AC676" s="95" t="str">
        <f t="shared" si="1"/>
        <v/>
      </c>
    </row>
    <row r="677" ht="15.75" customHeight="1">
      <c r="N677" s="99"/>
      <c r="O677" s="99"/>
      <c r="P677" s="99"/>
      <c r="Q677" s="99"/>
      <c r="R677" s="99"/>
      <c r="S677" s="99"/>
      <c r="T677" s="99"/>
      <c r="U677" s="99"/>
      <c r="V677" s="99"/>
      <c r="W677" s="99"/>
      <c r="X677" s="99"/>
      <c r="Y677" s="99"/>
      <c r="Z677" s="99"/>
      <c r="AA677" s="99"/>
      <c r="AB677" s="99"/>
      <c r="AC677" s="95" t="str">
        <f t="shared" si="1"/>
        <v/>
      </c>
    </row>
    <row r="678" ht="15.75" customHeight="1">
      <c r="N678" s="99"/>
      <c r="O678" s="99"/>
      <c r="P678" s="99"/>
      <c r="Q678" s="99"/>
      <c r="R678" s="99"/>
      <c r="S678" s="99"/>
      <c r="T678" s="99"/>
      <c r="U678" s="99"/>
      <c r="V678" s="99"/>
      <c r="W678" s="99"/>
      <c r="X678" s="99"/>
      <c r="Y678" s="99"/>
      <c r="Z678" s="99"/>
      <c r="AA678" s="99"/>
      <c r="AB678" s="99"/>
      <c r="AC678" s="95" t="str">
        <f t="shared" si="1"/>
        <v/>
      </c>
    </row>
    <row r="679" ht="15.75" customHeight="1">
      <c r="N679" s="99"/>
      <c r="O679" s="99"/>
      <c r="P679" s="99"/>
      <c r="Q679" s="99"/>
      <c r="R679" s="99"/>
      <c r="S679" s="99"/>
      <c r="T679" s="99"/>
      <c r="U679" s="99"/>
      <c r="V679" s="99"/>
      <c r="W679" s="99"/>
      <c r="X679" s="99"/>
      <c r="Y679" s="99"/>
      <c r="Z679" s="99"/>
      <c r="AA679" s="99"/>
      <c r="AB679" s="99"/>
      <c r="AC679" s="95" t="str">
        <f t="shared" si="1"/>
        <v/>
      </c>
    </row>
    <row r="680" ht="15.75" customHeight="1">
      <c r="N680" s="99"/>
      <c r="O680" s="99"/>
      <c r="P680" s="99"/>
      <c r="Q680" s="99"/>
      <c r="R680" s="99"/>
      <c r="S680" s="99"/>
      <c r="T680" s="99"/>
      <c r="U680" s="99"/>
      <c r="V680" s="99"/>
      <c r="W680" s="99"/>
      <c r="X680" s="99"/>
      <c r="Y680" s="99"/>
      <c r="Z680" s="99"/>
      <c r="AA680" s="99"/>
      <c r="AB680" s="99"/>
      <c r="AC680" s="95" t="str">
        <f t="shared" si="1"/>
        <v/>
      </c>
    </row>
    <row r="681" ht="15.75" customHeight="1">
      <c r="N681" s="99"/>
      <c r="O681" s="99"/>
      <c r="P681" s="99"/>
      <c r="Q681" s="99"/>
      <c r="R681" s="99"/>
      <c r="S681" s="99"/>
      <c r="T681" s="99"/>
      <c r="U681" s="99"/>
      <c r="V681" s="99"/>
      <c r="W681" s="99"/>
      <c r="X681" s="99"/>
      <c r="Y681" s="99"/>
      <c r="Z681" s="99"/>
      <c r="AA681" s="99"/>
      <c r="AB681" s="99"/>
      <c r="AC681" s="95" t="str">
        <f t="shared" si="1"/>
        <v/>
      </c>
    </row>
    <row r="682" ht="15.75" customHeight="1">
      <c r="N682" s="99"/>
      <c r="O682" s="99"/>
      <c r="P682" s="99"/>
      <c r="Q682" s="99"/>
      <c r="R682" s="99"/>
      <c r="S682" s="99"/>
      <c r="T682" s="99"/>
      <c r="U682" s="99"/>
      <c r="V682" s="99"/>
      <c r="W682" s="99"/>
      <c r="X682" s="99"/>
      <c r="Y682" s="99"/>
      <c r="Z682" s="99"/>
      <c r="AA682" s="99"/>
      <c r="AB682" s="99"/>
      <c r="AC682" s="95" t="str">
        <f t="shared" si="1"/>
        <v/>
      </c>
    </row>
    <row r="683" ht="15.75" customHeight="1">
      <c r="N683" s="99"/>
      <c r="O683" s="99"/>
      <c r="P683" s="99"/>
      <c r="Q683" s="99"/>
      <c r="R683" s="99"/>
      <c r="S683" s="99"/>
      <c r="T683" s="99"/>
      <c r="U683" s="99"/>
      <c r="V683" s="99"/>
      <c r="W683" s="99"/>
      <c r="X683" s="99"/>
      <c r="Y683" s="99"/>
      <c r="Z683" s="99"/>
      <c r="AA683" s="99"/>
      <c r="AB683" s="99"/>
      <c r="AC683" s="95" t="str">
        <f t="shared" si="1"/>
        <v/>
      </c>
    </row>
    <row r="684" ht="15.75" customHeight="1">
      <c r="N684" s="99"/>
      <c r="O684" s="99"/>
      <c r="P684" s="99"/>
      <c r="Q684" s="99"/>
      <c r="R684" s="99"/>
      <c r="S684" s="99"/>
      <c r="T684" s="99"/>
      <c r="U684" s="99"/>
      <c r="V684" s="99"/>
      <c r="W684" s="99"/>
      <c r="X684" s="99"/>
      <c r="Y684" s="99"/>
      <c r="Z684" s="99"/>
      <c r="AA684" s="99"/>
      <c r="AB684" s="99"/>
      <c r="AC684" s="95" t="str">
        <f t="shared" si="1"/>
        <v/>
      </c>
    </row>
    <row r="685" ht="15.75" customHeight="1">
      <c r="N685" s="99"/>
      <c r="O685" s="99"/>
      <c r="P685" s="99"/>
      <c r="Q685" s="99"/>
      <c r="R685" s="99"/>
      <c r="S685" s="99"/>
      <c r="T685" s="99"/>
      <c r="U685" s="99"/>
      <c r="V685" s="99"/>
      <c r="W685" s="99"/>
      <c r="X685" s="99"/>
      <c r="Y685" s="99"/>
      <c r="Z685" s="99"/>
      <c r="AA685" s="99"/>
      <c r="AB685" s="99"/>
      <c r="AC685" s="95" t="str">
        <f t="shared" si="1"/>
        <v/>
      </c>
    </row>
    <row r="686" ht="15.75" customHeight="1">
      <c r="N686" s="99"/>
      <c r="O686" s="99"/>
      <c r="P686" s="99"/>
      <c r="Q686" s="99"/>
      <c r="R686" s="99"/>
      <c r="S686" s="99"/>
      <c r="T686" s="99"/>
      <c r="U686" s="99"/>
      <c r="V686" s="99"/>
      <c r="W686" s="99"/>
      <c r="X686" s="99"/>
      <c r="Y686" s="99"/>
      <c r="Z686" s="99"/>
      <c r="AA686" s="99"/>
      <c r="AB686" s="99"/>
      <c r="AC686" s="95" t="str">
        <f t="shared" si="1"/>
        <v/>
      </c>
    </row>
    <row r="687" ht="15.75" customHeight="1">
      <c r="N687" s="99"/>
      <c r="O687" s="99"/>
      <c r="P687" s="99"/>
      <c r="Q687" s="99"/>
      <c r="R687" s="99"/>
      <c r="S687" s="99"/>
      <c r="T687" s="99"/>
      <c r="U687" s="99"/>
      <c r="V687" s="99"/>
      <c r="W687" s="99"/>
      <c r="X687" s="99"/>
      <c r="Y687" s="99"/>
      <c r="Z687" s="99"/>
      <c r="AA687" s="99"/>
      <c r="AB687" s="99"/>
      <c r="AC687" s="95" t="str">
        <f t="shared" si="1"/>
        <v/>
      </c>
    </row>
    <row r="688" ht="15.75" customHeight="1">
      <c r="N688" s="99"/>
      <c r="O688" s="99"/>
      <c r="P688" s="99"/>
      <c r="Q688" s="99"/>
      <c r="R688" s="99"/>
      <c r="S688" s="99"/>
      <c r="T688" s="99"/>
      <c r="U688" s="99"/>
      <c r="V688" s="99"/>
      <c r="W688" s="99"/>
      <c r="X688" s="99"/>
      <c r="Y688" s="99"/>
      <c r="Z688" s="99"/>
      <c r="AA688" s="99"/>
      <c r="AB688" s="99"/>
      <c r="AC688" s="95" t="str">
        <f t="shared" si="1"/>
        <v/>
      </c>
    </row>
    <row r="689" ht="15.75" customHeight="1">
      <c r="N689" s="99"/>
      <c r="O689" s="99"/>
      <c r="P689" s="99"/>
      <c r="Q689" s="99"/>
      <c r="R689" s="99"/>
      <c r="S689" s="99"/>
      <c r="T689" s="99"/>
      <c r="U689" s="99"/>
      <c r="V689" s="99"/>
      <c r="W689" s="99"/>
      <c r="X689" s="99"/>
      <c r="Y689" s="99"/>
      <c r="Z689" s="99"/>
      <c r="AA689" s="99"/>
      <c r="AB689" s="99"/>
      <c r="AC689" s="95" t="str">
        <f t="shared" si="1"/>
        <v/>
      </c>
    </row>
    <row r="690" ht="15.75" customHeight="1">
      <c r="N690" s="99"/>
      <c r="O690" s="99"/>
      <c r="P690" s="99"/>
      <c r="Q690" s="99"/>
      <c r="R690" s="99"/>
      <c r="S690" s="99"/>
      <c r="T690" s="99"/>
      <c r="U690" s="99"/>
      <c r="V690" s="99"/>
      <c r="W690" s="99"/>
      <c r="X690" s="99"/>
      <c r="Y690" s="99"/>
      <c r="Z690" s="99"/>
      <c r="AA690" s="99"/>
      <c r="AB690" s="99"/>
      <c r="AC690" s="95" t="str">
        <f t="shared" si="1"/>
        <v/>
      </c>
    </row>
    <row r="691" ht="15.75" customHeight="1">
      <c r="N691" s="99"/>
      <c r="O691" s="99"/>
      <c r="P691" s="99"/>
      <c r="Q691" s="99"/>
      <c r="R691" s="99"/>
      <c r="S691" s="99"/>
      <c r="T691" s="99"/>
      <c r="U691" s="99"/>
      <c r="V691" s="99"/>
      <c r="W691" s="99"/>
      <c r="X691" s="99"/>
      <c r="Y691" s="99"/>
      <c r="Z691" s="99"/>
      <c r="AA691" s="99"/>
      <c r="AB691" s="99"/>
      <c r="AC691" s="95" t="str">
        <f t="shared" si="1"/>
        <v/>
      </c>
    </row>
    <row r="692" ht="15.75" customHeight="1">
      <c r="N692" s="99"/>
      <c r="O692" s="99"/>
      <c r="P692" s="99"/>
      <c r="Q692" s="99"/>
      <c r="R692" s="99"/>
      <c r="S692" s="99"/>
      <c r="T692" s="99"/>
      <c r="U692" s="99"/>
      <c r="V692" s="99"/>
      <c r="W692" s="99"/>
      <c r="X692" s="99"/>
      <c r="Y692" s="99"/>
      <c r="Z692" s="99"/>
      <c r="AA692" s="99"/>
      <c r="AB692" s="99"/>
      <c r="AC692" s="95" t="str">
        <f t="shared" si="1"/>
        <v/>
      </c>
    </row>
    <row r="693" ht="15.75" customHeight="1">
      <c r="N693" s="99"/>
      <c r="O693" s="99"/>
      <c r="P693" s="99"/>
      <c r="Q693" s="99"/>
      <c r="R693" s="99"/>
      <c r="S693" s="99"/>
      <c r="T693" s="99"/>
      <c r="U693" s="99"/>
      <c r="V693" s="99"/>
      <c r="W693" s="99"/>
      <c r="X693" s="99"/>
      <c r="Y693" s="99"/>
      <c r="Z693" s="99"/>
      <c r="AA693" s="99"/>
      <c r="AB693" s="99"/>
      <c r="AC693" s="95" t="str">
        <f t="shared" si="1"/>
        <v/>
      </c>
    </row>
    <row r="694" ht="15.75" customHeight="1">
      <c r="N694" s="99"/>
      <c r="O694" s="99"/>
      <c r="P694" s="99"/>
      <c r="Q694" s="99"/>
      <c r="R694" s="99"/>
      <c r="S694" s="99"/>
      <c r="T694" s="99"/>
      <c r="U694" s="99"/>
      <c r="V694" s="99"/>
      <c r="W694" s="99"/>
      <c r="X694" s="99"/>
      <c r="Y694" s="99"/>
      <c r="Z694" s="99"/>
      <c r="AA694" s="99"/>
      <c r="AB694" s="99"/>
      <c r="AC694" s="95" t="str">
        <f t="shared" si="1"/>
        <v/>
      </c>
    </row>
    <row r="695" ht="15.75" customHeight="1">
      <c r="N695" s="99"/>
      <c r="O695" s="99"/>
      <c r="P695" s="99"/>
      <c r="Q695" s="99"/>
      <c r="R695" s="99"/>
      <c r="S695" s="99"/>
      <c r="T695" s="99"/>
      <c r="U695" s="99"/>
      <c r="V695" s="99"/>
      <c r="W695" s="99"/>
      <c r="X695" s="99"/>
      <c r="Y695" s="99"/>
      <c r="Z695" s="99"/>
      <c r="AA695" s="99"/>
      <c r="AB695" s="99"/>
      <c r="AC695" s="95" t="str">
        <f t="shared" si="1"/>
        <v/>
      </c>
    </row>
    <row r="696" ht="15.75" customHeight="1">
      <c r="N696" s="99"/>
      <c r="O696" s="99"/>
      <c r="P696" s="99"/>
      <c r="Q696" s="99"/>
      <c r="R696" s="99"/>
      <c r="S696" s="99"/>
      <c r="T696" s="99"/>
      <c r="U696" s="99"/>
      <c r="V696" s="99"/>
      <c r="W696" s="99"/>
      <c r="X696" s="99"/>
      <c r="Y696" s="99"/>
      <c r="Z696" s="99"/>
      <c r="AA696" s="99"/>
      <c r="AB696" s="99"/>
      <c r="AC696" s="95" t="str">
        <f t="shared" si="1"/>
        <v/>
      </c>
    </row>
    <row r="697" ht="15.75" customHeight="1">
      <c r="N697" s="99"/>
      <c r="O697" s="99"/>
      <c r="P697" s="99"/>
      <c r="Q697" s="99"/>
      <c r="R697" s="99"/>
      <c r="S697" s="99"/>
      <c r="T697" s="99"/>
      <c r="U697" s="99"/>
      <c r="V697" s="99"/>
      <c r="W697" s="99"/>
      <c r="X697" s="99"/>
      <c r="Y697" s="99"/>
      <c r="Z697" s="99"/>
      <c r="AA697" s="99"/>
      <c r="AB697" s="99"/>
      <c r="AC697" s="95" t="str">
        <f t="shared" si="1"/>
        <v/>
      </c>
    </row>
    <row r="698" ht="15.75" customHeight="1">
      <c r="N698" s="99"/>
      <c r="O698" s="99"/>
      <c r="P698" s="99"/>
      <c r="Q698" s="99"/>
      <c r="R698" s="99"/>
      <c r="S698" s="99"/>
      <c r="T698" s="99"/>
      <c r="U698" s="99"/>
      <c r="V698" s="99"/>
      <c r="W698" s="99"/>
      <c r="X698" s="99"/>
      <c r="Y698" s="99"/>
      <c r="Z698" s="99"/>
      <c r="AA698" s="99"/>
      <c r="AB698" s="99"/>
      <c r="AC698" s="95" t="str">
        <f t="shared" si="1"/>
        <v/>
      </c>
    </row>
    <row r="699" ht="15.75" customHeight="1">
      <c r="N699" s="99"/>
      <c r="O699" s="99"/>
      <c r="P699" s="99"/>
      <c r="Q699" s="99"/>
      <c r="R699" s="99"/>
      <c r="S699" s="99"/>
      <c r="T699" s="99"/>
      <c r="U699" s="99"/>
      <c r="V699" s="99"/>
      <c r="W699" s="99"/>
      <c r="X699" s="99"/>
      <c r="Y699" s="99"/>
      <c r="Z699" s="99"/>
      <c r="AA699" s="99"/>
      <c r="AB699" s="99"/>
      <c r="AC699" s="95" t="str">
        <f t="shared" si="1"/>
        <v/>
      </c>
    </row>
    <row r="700" ht="15.75" customHeight="1">
      <c r="N700" s="99"/>
      <c r="O700" s="99"/>
      <c r="P700" s="99"/>
      <c r="Q700" s="99"/>
      <c r="R700" s="99"/>
      <c r="S700" s="99"/>
      <c r="T700" s="99"/>
      <c r="U700" s="99"/>
      <c r="V700" s="99"/>
      <c r="W700" s="99"/>
      <c r="X700" s="99"/>
      <c r="Y700" s="99"/>
      <c r="Z700" s="99"/>
      <c r="AA700" s="99"/>
      <c r="AB700" s="99"/>
      <c r="AC700" s="95" t="str">
        <f t="shared" si="1"/>
        <v/>
      </c>
    </row>
    <row r="701" ht="15.75" customHeight="1">
      <c r="N701" s="99"/>
      <c r="O701" s="99"/>
      <c r="P701" s="99"/>
      <c r="Q701" s="99"/>
      <c r="R701" s="99"/>
      <c r="S701" s="99"/>
      <c r="T701" s="99"/>
      <c r="U701" s="99"/>
      <c r="V701" s="99"/>
      <c r="W701" s="99"/>
      <c r="X701" s="99"/>
      <c r="Y701" s="99"/>
      <c r="Z701" s="99"/>
      <c r="AA701" s="99"/>
      <c r="AB701" s="99"/>
      <c r="AC701" s="95" t="str">
        <f t="shared" si="1"/>
        <v/>
      </c>
    </row>
    <row r="702" ht="15.75" customHeight="1">
      <c r="N702" s="99"/>
      <c r="O702" s="99"/>
      <c r="P702" s="99"/>
      <c r="Q702" s="99"/>
      <c r="R702" s="99"/>
      <c r="S702" s="99"/>
      <c r="T702" s="99"/>
      <c r="U702" s="99"/>
      <c r="V702" s="99"/>
      <c r="W702" s="99"/>
      <c r="X702" s="99"/>
      <c r="Y702" s="99"/>
      <c r="Z702" s="99"/>
      <c r="AA702" s="99"/>
      <c r="AB702" s="99"/>
      <c r="AC702" s="95" t="str">
        <f t="shared" si="1"/>
        <v/>
      </c>
    </row>
    <row r="703" ht="15.75" customHeight="1">
      <c r="N703" s="99"/>
      <c r="O703" s="99"/>
      <c r="P703" s="99"/>
      <c r="Q703" s="99"/>
      <c r="R703" s="99"/>
      <c r="S703" s="99"/>
      <c r="T703" s="99"/>
      <c r="U703" s="99"/>
      <c r="V703" s="99"/>
      <c r="W703" s="99"/>
      <c r="X703" s="99"/>
      <c r="Y703" s="99"/>
      <c r="Z703" s="99"/>
      <c r="AA703" s="99"/>
      <c r="AB703" s="99"/>
      <c r="AC703" s="95" t="str">
        <f t="shared" si="1"/>
        <v/>
      </c>
    </row>
    <row r="704" ht="15.75" customHeight="1">
      <c r="N704" s="99"/>
      <c r="O704" s="99"/>
      <c r="P704" s="99"/>
      <c r="Q704" s="99"/>
      <c r="R704" s="99"/>
      <c r="S704" s="99"/>
      <c r="T704" s="99"/>
      <c r="U704" s="99"/>
      <c r="V704" s="99"/>
      <c r="W704" s="99"/>
      <c r="X704" s="99"/>
      <c r="Y704" s="99"/>
      <c r="Z704" s="99"/>
      <c r="AA704" s="99"/>
      <c r="AB704" s="99"/>
      <c r="AC704" s="95" t="str">
        <f t="shared" si="1"/>
        <v/>
      </c>
    </row>
    <row r="705" ht="15.75" customHeight="1">
      <c r="N705" s="99"/>
      <c r="O705" s="99"/>
      <c r="P705" s="99"/>
      <c r="Q705" s="99"/>
      <c r="R705" s="99"/>
      <c r="S705" s="99"/>
      <c r="T705" s="99"/>
      <c r="U705" s="99"/>
      <c r="V705" s="99"/>
      <c r="W705" s="99"/>
      <c r="X705" s="99"/>
      <c r="Y705" s="99"/>
      <c r="Z705" s="99"/>
      <c r="AA705" s="99"/>
      <c r="AB705" s="99"/>
      <c r="AC705" s="95" t="str">
        <f t="shared" si="1"/>
        <v/>
      </c>
    </row>
    <row r="706" ht="15.75" customHeight="1">
      <c r="N706" s="99"/>
      <c r="O706" s="99"/>
      <c r="P706" s="99"/>
      <c r="Q706" s="99"/>
      <c r="R706" s="99"/>
      <c r="S706" s="99"/>
      <c r="T706" s="99"/>
      <c r="U706" s="99"/>
      <c r="V706" s="99"/>
      <c r="W706" s="99"/>
      <c r="X706" s="99"/>
      <c r="Y706" s="99"/>
      <c r="Z706" s="99"/>
      <c r="AA706" s="99"/>
      <c r="AB706" s="99"/>
      <c r="AC706" s="95" t="str">
        <f t="shared" si="1"/>
        <v/>
      </c>
    </row>
    <row r="707" ht="15.75" customHeight="1">
      <c r="N707" s="99"/>
      <c r="O707" s="99"/>
      <c r="P707" s="99"/>
      <c r="Q707" s="99"/>
      <c r="R707" s="99"/>
      <c r="S707" s="99"/>
      <c r="T707" s="99"/>
      <c r="U707" s="99"/>
      <c r="V707" s="99"/>
      <c r="W707" s="99"/>
      <c r="X707" s="99"/>
      <c r="Y707" s="99"/>
      <c r="Z707" s="99"/>
      <c r="AA707" s="99"/>
      <c r="AB707" s="99"/>
      <c r="AC707" s="95" t="str">
        <f t="shared" si="1"/>
        <v/>
      </c>
    </row>
    <row r="708" ht="15.75" customHeight="1">
      <c r="N708" s="99"/>
      <c r="O708" s="99"/>
      <c r="P708" s="99"/>
      <c r="Q708" s="99"/>
      <c r="R708" s="99"/>
      <c r="S708" s="99"/>
      <c r="T708" s="99"/>
      <c r="U708" s="99"/>
      <c r="V708" s="99"/>
      <c r="W708" s="99"/>
      <c r="X708" s="99"/>
      <c r="Y708" s="99"/>
      <c r="Z708" s="99"/>
      <c r="AA708" s="99"/>
      <c r="AB708" s="99"/>
      <c r="AC708" s="95" t="str">
        <f t="shared" si="1"/>
        <v/>
      </c>
    </row>
    <row r="709" ht="15.75" customHeight="1">
      <c r="N709" s="99"/>
      <c r="O709" s="99"/>
      <c r="P709" s="99"/>
      <c r="Q709" s="99"/>
      <c r="R709" s="99"/>
      <c r="S709" s="99"/>
      <c r="T709" s="99"/>
      <c r="U709" s="99"/>
      <c r="V709" s="99"/>
      <c r="W709" s="99"/>
      <c r="X709" s="99"/>
      <c r="Y709" s="99"/>
      <c r="Z709" s="99"/>
      <c r="AA709" s="99"/>
      <c r="AB709" s="99"/>
      <c r="AC709" s="95" t="str">
        <f t="shared" si="1"/>
        <v/>
      </c>
    </row>
    <row r="710" ht="15.75" customHeight="1">
      <c r="N710" s="99"/>
      <c r="O710" s="99"/>
      <c r="P710" s="99"/>
      <c r="Q710" s="99"/>
      <c r="R710" s="99"/>
      <c r="S710" s="99"/>
      <c r="T710" s="99"/>
      <c r="U710" s="99"/>
      <c r="V710" s="99"/>
      <c r="W710" s="99"/>
      <c r="X710" s="99"/>
      <c r="Y710" s="99"/>
      <c r="Z710" s="99"/>
      <c r="AA710" s="99"/>
      <c r="AB710" s="99"/>
      <c r="AC710" s="95" t="str">
        <f t="shared" si="1"/>
        <v/>
      </c>
    </row>
    <row r="711" ht="15.75" customHeight="1">
      <c r="N711" s="99"/>
      <c r="O711" s="99"/>
      <c r="P711" s="99"/>
      <c r="Q711" s="99"/>
      <c r="R711" s="99"/>
      <c r="S711" s="99"/>
      <c r="T711" s="99"/>
      <c r="U711" s="99"/>
      <c r="V711" s="99"/>
      <c r="W711" s="99"/>
      <c r="X711" s="99"/>
      <c r="Y711" s="99"/>
      <c r="Z711" s="99"/>
      <c r="AA711" s="99"/>
      <c r="AB711" s="99"/>
      <c r="AC711" s="95" t="str">
        <f t="shared" si="1"/>
        <v/>
      </c>
    </row>
    <row r="712" ht="15.75" customHeight="1">
      <c r="N712" s="99"/>
      <c r="O712" s="99"/>
      <c r="P712" s="99"/>
      <c r="Q712" s="99"/>
      <c r="R712" s="99"/>
      <c r="S712" s="99"/>
      <c r="T712" s="99"/>
      <c r="U712" s="99"/>
      <c r="V712" s="99"/>
      <c r="W712" s="99"/>
      <c r="X712" s="99"/>
      <c r="Y712" s="99"/>
      <c r="Z712" s="99"/>
      <c r="AA712" s="99"/>
      <c r="AB712" s="99"/>
      <c r="AC712" s="95" t="str">
        <f t="shared" si="1"/>
        <v/>
      </c>
    </row>
    <row r="713" ht="15.75" customHeight="1">
      <c r="N713" s="99"/>
      <c r="O713" s="99"/>
      <c r="P713" s="99"/>
      <c r="Q713" s="99"/>
      <c r="R713" s="99"/>
      <c r="S713" s="99"/>
      <c r="T713" s="99"/>
      <c r="U713" s="99"/>
      <c r="V713" s="99"/>
      <c r="W713" s="99"/>
      <c r="X713" s="99"/>
      <c r="Y713" s="99"/>
      <c r="Z713" s="99"/>
      <c r="AA713" s="99"/>
      <c r="AB713" s="99"/>
      <c r="AC713" s="95" t="str">
        <f t="shared" si="1"/>
        <v/>
      </c>
    </row>
    <row r="714" ht="15.75" customHeight="1">
      <c r="N714" s="99"/>
      <c r="O714" s="99"/>
      <c r="P714" s="99"/>
      <c r="Q714" s="99"/>
      <c r="R714" s="99"/>
      <c r="S714" s="99"/>
      <c r="T714" s="99"/>
      <c r="U714" s="99"/>
      <c r="V714" s="99"/>
      <c r="W714" s="99"/>
      <c r="X714" s="99"/>
      <c r="Y714" s="99"/>
      <c r="Z714" s="99"/>
      <c r="AA714" s="99"/>
      <c r="AB714" s="99"/>
      <c r="AC714" s="95" t="str">
        <f t="shared" si="1"/>
        <v/>
      </c>
    </row>
    <row r="715" ht="15.75" customHeight="1">
      <c r="N715" s="99"/>
      <c r="O715" s="99"/>
      <c r="P715" s="99"/>
      <c r="Q715" s="99"/>
      <c r="R715" s="99"/>
      <c r="S715" s="99"/>
      <c r="T715" s="99"/>
      <c r="U715" s="99"/>
      <c r="V715" s="99"/>
      <c r="W715" s="99"/>
      <c r="X715" s="99"/>
      <c r="Y715" s="99"/>
      <c r="Z715" s="99"/>
      <c r="AA715" s="99"/>
      <c r="AB715" s="99"/>
      <c r="AC715" s="95" t="str">
        <f t="shared" si="1"/>
        <v/>
      </c>
    </row>
    <row r="716" ht="15.75" customHeight="1">
      <c r="N716" s="99"/>
      <c r="O716" s="99"/>
      <c r="P716" s="99"/>
      <c r="Q716" s="99"/>
      <c r="R716" s="99"/>
      <c r="S716" s="99"/>
      <c r="T716" s="99"/>
      <c r="U716" s="99"/>
      <c r="V716" s="99"/>
      <c r="W716" s="99"/>
      <c r="X716" s="99"/>
      <c r="Y716" s="99"/>
      <c r="Z716" s="99"/>
      <c r="AA716" s="99"/>
      <c r="AB716" s="99"/>
      <c r="AC716" s="95" t="str">
        <f t="shared" si="1"/>
        <v/>
      </c>
    </row>
    <row r="717" ht="15.75" customHeight="1">
      <c r="N717" s="99"/>
      <c r="O717" s="99"/>
      <c r="P717" s="99"/>
      <c r="Q717" s="99"/>
      <c r="R717" s="99"/>
      <c r="S717" s="99"/>
      <c r="T717" s="99"/>
      <c r="U717" s="99"/>
      <c r="V717" s="99"/>
      <c r="W717" s="99"/>
      <c r="X717" s="99"/>
      <c r="Y717" s="99"/>
      <c r="Z717" s="99"/>
      <c r="AA717" s="99"/>
      <c r="AB717" s="99"/>
      <c r="AC717" s="95" t="str">
        <f t="shared" si="1"/>
        <v/>
      </c>
    </row>
    <row r="718" ht="15.75" customHeight="1">
      <c r="N718" s="99"/>
      <c r="O718" s="99"/>
      <c r="P718" s="99"/>
      <c r="Q718" s="99"/>
      <c r="R718" s="99"/>
      <c r="S718" s="99"/>
      <c r="T718" s="99"/>
      <c r="U718" s="99"/>
      <c r="V718" s="99"/>
      <c r="W718" s="99"/>
      <c r="X718" s="99"/>
      <c r="Y718" s="99"/>
      <c r="Z718" s="99"/>
      <c r="AA718" s="99"/>
      <c r="AB718" s="99"/>
      <c r="AC718" s="95" t="str">
        <f t="shared" si="1"/>
        <v/>
      </c>
    </row>
    <row r="719" ht="15.75" customHeight="1">
      <c r="N719" s="99"/>
      <c r="O719" s="99"/>
      <c r="P719" s="99"/>
      <c r="Q719" s="99"/>
      <c r="R719" s="99"/>
      <c r="S719" s="99"/>
      <c r="T719" s="99"/>
      <c r="U719" s="99"/>
      <c r="V719" s="99"/>
      <c r="W719" s="99"/>
      <c r="X719" s="99"/>
      <c r="Y719" s="99"/>
      <c r="Z719" s="99"/>
      <c r="AA719" s="99"/>
      <c r="AB719" s="99"/>
      <c r="AC719" s="95" t="str">
        <f t="shared" si="1"/>
        <v/>
      </c>
    </row>
    <row r="720" ht="15.75" customHeight="1">
      <c r="N720" s="99"/>
      <c r="O720" s="99"/>
      <c r="P720" s="99"/>
      <c r="Q720" s="99"/>
      <c r="R720" s="99"/>
      <c r="S720" s="99"/>
      <c r="T720" s="99"/>
      <c r="U720" s="99"/>
      <c r="V720" s="99"/>
      <c r="W720" s="99"/>
      <c r="X720" s="99"/>
      <c r="Y720" s="99"/>
      <c r="Z720" s="99"/>
      <c r="AA720" s="99"/>
      <c r="AB720" s="99"/>
      <c r="AC720" s="95" t="str">
        <f t="shared" si="1"/>
        <v/>
      </c>
    </row>
    <row r="721" ht="15.75" customHeight="1">
      <c r="N721" s="99"/>
      <c r="O721" s="99"/>
      <c r="P721" s="99"/>
      <c r="Q721" s="99"/>
      <c r="R721" s="99"/>
      <c r="S721" s="99"/>
      <c r="T721" s="99"/>
      <c r="U721" s="99"/>
      <c r="V721" s="99"/>
      <c r="W721" s="99"/>
      <c r="X721" s="99"/>
      <c r="Y721" s="99"/>
      <c r="Z721" s="99"/>
      <c r="AA721" s="99"/>
      <c r="AB721" s="99"/>
      <c r="AC721" s="95" t="str">
        <f t="shared" si="1"/>
        <v/>
      </c>
    </row>
    <row r="722" ht="15.75" customHeight="1">
      <c r="N722" s="99"/>
      <c r="O722" s="99"/>
      <c r="P722" s="99"/>
      <c r="Q722" s="99"/>
      <c r="R722" s="99"/>
      <c r="S722" s="99"/>
      <c r="T722" s="99"/>
      <c r="U722" s="99"/>
      <c r="V722" s="99"/>
      <c r="W722" s="99"/>
      <c r="X722" s="99"/>
      <c r="Y722" s="99"/>
      <c r="Z722" s="99"/>
      <c r="AA722" s="99"/>
      <c r="AB722" s="99"/>
      <c r="AC722" s="95" t="str">
        <f t="shared" si="1"/>
        <v/>
      </c>
    </row>
    <row r="723" ht="15.75" customHeight="1">
      <c r="N723" s="99"/>
      <c r="O723" s="99"/>
      <c r="P723" s="99"/>
      <c r="Q723" s="99"/>
      <c r="R723" s="99"/>
      <c r="S723" s="99"/>
      <c r="T723" s="99"/>
      <c r="U723" s="99"/>
      <c r="V723" s="99"/>
      <c r="W723" s="99"/>
      <c r="X723" s="99"/>
      <c r="Y723" s="99"/>
      <c r="Z723" s="99"/>
      <c r="AA723" s="99"/>
      <c r="AB723" s="99"/>
      <c r="AC723" s="95" t="str">
        <f t="shared" si="1"/>
        <v/>
      </c>
    </row>
    <row r="724" ht="15.75" customHeight="1">
      <c r="N724" s="99"/>
      <c r="O724" s="99"/>
      <c r="P724" s="99"/>
      <c r="Q724" s="99"/>
      <c r="R724" s="99"/>
      <c r="S724" s="99"/>
      <c r="T724" s="99"/>
      <c r="U724" s="99"/>
      <c r="V724" s="99"/>
      <c r="W724" s="99"/>
      <c r="X724" s="99"/>
      <c r="Y724" s="99"/>
      <c r="Z724" s="99"/>
      <c r="AA724" s="99"/>
      <c r="AB724" s="99"/>
      <c r="AC724" s="95" t="str">
        <f t="shared" si="1"/>
        <v/>
      </c>
    </row>
    <row r="725" ht="15.75" customHeight="1">
      <c r="N725" s="99"/>
      <c r="O725" s="99"/>
      <c r="P725" s="99"/>
      <c r="Q725" s="99"/>
      <c r="R725" s="99"/>
      <c r="S725" s="99"/>
      <c r="T725" s="99"/>
      <c r="U725" s="99"/>
      <c r="V725" s="99"/>
      <c r="W725" s="99"/>
      <c r="X725" s="99"/>
      <c r="Y725" s="99"/>
      <c r="Z725" s="99"/>
      <c r="AA725" s="99"/>
      <c r="AB725" s="99"/>
      <c r="AC725" s="95" t="str">
        <f t="shared" si="1"/>
        <v/>
      </c>
    </row>
    <row r="726" ht="15.75" customHeight="1">
      <c r="N726" s="99"/>
      <c r="O726" s="99"/>
      <c r="P726" s="99"/>
      <c r="Q726" s="99"/>
      <c r="R726" s="99"/>
      <c r="S726" s="99"/>
      <c r="T726" s="99"/>
      <c r="U726" s="99"/>
      <c r="V726" s="99"/>
      <c r="W726" s="99"/>
      <c r="X726" s="99"/>
      <c r="Y726" s="99"/>
      <c r="Z726" s="99"/>
      <c r="AA726" s="99"/>
      <c r="AB726" s="99"/>
      <c r="AC726" s="95" t="str">
        <f t="shared" si="1"/>
        <v/>
      </c>
    </row>
    <row r="727" ht="15.75" customHeight="1">
      <c r="N727" s="99"/>
      <c r="O727" s="99"/>
      <c r="P727" s="99"/>
      <c r="Q727" s="99"/>
      <c r="R727" s="99"/>
      <c r="S727" s="99"/>
      <c r="T727" s="99"/>
      <c r="U727" s="99"/>
      <c r="V727" s="99"/>
      <c r="W727" s="99"/>
      <c r="X727" s="99"/>
      <c r="Y727" s="99"/>
      <c r="Z727" s="99"/>
      <c r="AA727" s="99"/>
      <c r="AB727" s="99"/>
      <c r="AC727" s="95" t="str">
        <f t="shared" si="1"/>
        <v/>
      </c>
    </row>
    <row r="728" ht="15.75" customHeight="1">
      <c r="N728" s="99"/>
      <c r="O728" s="99"/>
      <c r="P728" s="99"/>
      <c r="Q728" s="99"/>
      <c r="R728" s="99"/>
      <c r="S728" s="99"/>
      <c r="T728" s="99"/>
      <c r="U728" s="99"/>
      <c r="V728" s="99"/>
      <c r="W728" s="99"/>
      <c r="X728" s="99"/>
      <c r="Y728" s="99"/>
      <c r="Z728" s="99"/>
      <c r="AA728" s="99"/>
      <c r="AB728" s="99"/>
      <c r="AC728" s="95" t="str">
        <f t="shared" si="1"/>
        <v/>
      </c>
    </row>
    <row r="729" ht="15.75" customHeight="1">
      <c r="N729" s="99"/>
      <c r="O729" s="99"/>
      <c r="P729" s="99"/>
      <c r="Q729" s="99"/>
      <c r="R729" s="99"/>
      <c r="S729" s="99"/>
      <c r="T729" s="99"/>
      <c r="U729" s="99"/>
      <c r="V729" s="99"/>
      <c r="W729" s="99"/>
      <c r="X729" s="99"/>
      <c r="Y729" s="99"/>
      <c r="Z729" s="99"/>
      <c r="AA729" s="99"/>
      <c r="AB729" s="99"/>
      <c r="AC729" s="95" t="str">
        <f t="shared" si="1"/>
        <v/>
      </c>
    </row>
    <row r="730" ht="15.75" customHeight="1">
      <c r="N730" s="99"/>
      <c r="O730" s="99"/>
      <c r="P730" s="99"/>
      <c r="Q730" s="99"/>
      <c r="R730" s="99"/>
      <c r="S730" s="99"/>
      <c r="T730" s="99"/>
      <c r="U730" s="99"/>
      <c r="V730" s="99"/>
      <c r="W730" s="99"/>
      <c r="X730" s="99"/>
      <c r="Y730" s="99"/>
      <c r="Z730" s="99"/>
      <c r="AA730" s="99"/>
      <c r="AB730" s="99"/>
      <c r="AC730" s="95" t="str">
        <f t="shared" si="1"/>
        <v/>
      </c>
    </row>
    <row r="731" ht="15.75" customHeight="1">
      <c r="N731" s="99"/>
      <c r="O731" s="99"/>
      <c r="P731" s="99"/>
      <c r="Q731" s="99"/>
      <c r="R731" s="99"/>
      <c r="S731" s="99"/>
      <c r="T731" s="99"/>
      <c r="U731" s="99"/>
      <c r="V731" s="99"/>
      <c r="W731" s="99"/>
      <c r="X731" s="99"/>
      <c r="Y731" s="99"/>
      <c r="Z731" s="99"/>
      <c r="AA731" s="99"/>
      <c r="AB731" s="99"/>
      <c r="AC731" s="95" t="str">
        <f t="shared" si="1"/>
        <v/>
      </c>
    </row>
    <row r="732" ht="15.75" customHeight="1">
      <c r="N732" s="99"/>
      <c r="O732" s="99"/>
      <c r="P732" s="99"/>
      <c r="Q732" s="99"/>
      <c r="R732" s="99"/>
      <c r="S732" s="99"/>
      <c r="T732" s="99"/>
      <c r="U732" s="99"/>
      <c r="V732" s="99"/>
      <c r="W732" s="99"/>
      <c r="X732" s="99"/>
      <c r="Y732" s="99"/>
      <c r="Z732" s="99"/>
      <c r="AA732" s="99"/>
      <c r="AB732" s="99"/>
      <c r="AC732" s="95" t="str">
        <f t="shared" si="1"/>
        <v/>
      </c>
    </row>
    <row r="733" ht="15.75" customHeight="1">
      <c r="N733" s="99"/>
      <c r="O733" s="99"/>
      <c r="P733" s="99"/>
      <c r="Q733" s="99"/>
      <c r="R733" s="99"/>
      <c r="S733" s="99"/>
      <c r="T733" s="99"/>
      <c r="U733" s="99"/>
      <c r="V733" s="99"/>
      <c r="W733" s="99"/>
      <c r="X733" s="99"/>
      <c r="Y733" s="99"/>
      <c r="Z733" s="99"/>
      <c r="AA733" s="99"/>
      <c r="AB733" s="99"/>
      <c r="AC733" s="95" t="str">
        <f t="shared" si="1"/>
        <v/>
      </c>
    </row>
    <row r="734" ht="15.75" customHeight="1">
      <c r="N734" s="99"/>
      <c r="O734" s="99"/>
      <c r="P734" s="99"/>
      <c r="Q734" s="99"/>
      <c r="R734" s="99"/>
      <c r="S734" s="99"/>
      <c r="T734" s="99"/>
      <c r="U734" s="99"/>
      <c r="V734" s="99"/>
      <c r="W734" s="99"/>
      <c r="X734" s="99"/>
      <c r="Y734" s="99"/>
      <c r="Z734" s="99"/>
      <c r="AA734" s="99"/>
      <c r="AB734" s="99"/>
      <c r="AC734" s="95" t="str">
        <f t="shared" si="1"/>
        <v/>
      </c>
    </row>
    <row r="735" ht="15.75" customHeight="1">
      <c r="N735" s="99"/>
      <c r="O735" s="99"/>
      <c r="P735" s="99"/>
      <c r="Q735" s="99"/>
      <c r="R735" s="99"/>
      <c r="S735" s="99"/>
      <c r="T735" s="99"/>
      <c r="U735" s="99"/>
      <c r="V735" s="99"/>
      <c r="W735" s="99"/>
      <c r="X735" s="99"/>
      <c r="Y735" s="99"/>
      <c r="Z735" s="99"/>
      <c r="AA735" s="99"/>
      <c r="AB735" s="99"/>
      <c r="AC735" s="95" t="str">
        <f t="shared" si="1"/>
        <v/>
      </c>
    </row>
    <row r="736" ht="15.75" customHeight="1">
      <c r="N736" s="99"/>
      <c r="O736" s="99"/>
      <c r="P736" s="99"/>
      <c r="Q736" s="99"/>
      <c r="R736" s="99"/>
      <c r="S736" s="99"/>
      <c r="T736" s="99"/>
      <c r="U736" s="99"/>
      <c r="V736" s="99"/>
      <c r="W736" s="99"/>
      <c r="X736" s="99"/>
      <c r="Y736" s="99"/>
      <c r="Z736" s="99"/>
      <c r="AA736" s="99"/>
      <c r="AB736" s="99"/>
      <c r="AC736" s="95" t="str">
        <f t="shared" si="1"/>
        <v/>
      </c>
    </row>
    <row r="737" ht="15.75" customHeight="1">
      <c r="N737" s="99"/>
      <c r="O737" s="99"/>
      <c r="P737" s="99"/>
      <c r="Q737" s="99"/>
      <c r="R737" s="99"/>
      <c r="S737" s="99"/>
      <c r="T737" s="99"/>
      <c r="U737" s="99"/>
      <c r="V737" s="99"/>
      <c r="W737" s="99"/>
      <c r="X737" s="99"/>
      <c r="Y737" s="99"/>
      <c r="Z737" s="99"/>
      <c r="AA737" s="99"/>
      <c r="AB737" s="99"/>
      <c r="AC737" s="95" t="str">
        <f t="shared" si="1"/>
        <v/>
      </c>
    </row>
    <row r="738" ht="15.75" customHeight="1">
      <c r="N738" s="99"/>
      <c r="O738" s="99"/>
      <c r="P738" s="99"/>
      <c r="Q738" s="99"/>
      <c r="R738" s="99"/>
      <c r="S738" s="99"/>
      <c r="T738" s="99"/>
      <c r="U738" s="99"/>
      <c r="V738" s="99"/>
      <c r="W738" s="99"/>
      <c r="X738" s="99"/>
      <c r="Y738" s="99"/>
      <c r="Z738" s="99"/>
      <c r="AA738" s="99"/>
      <c r="AB738" s="99"/>
      <c r="AC738" s="95" t="str">
        <f t="shared" si="1"/>
        <v/>
      </c>
    </row>
    <row r="739" ht="15.75" customHeight="1">
      <c r="N739" s="99"/>
      <c r="O739" s="99"/>
      <c r="P739" s="99"/>
      <c r="Q739" s="99"/>
      <c r="R739" s="99"/>
      <c r="S739" s="99"/>
      <c r="T739" s="99"/>
      <c r="U739" s="99"/>
      <c r="V739" s="99"/>
      <c r="W739" s="99"/>
      <c r="X739" s="99"/>
      <c r="Y739" s="99"/>
      <c r="Z739" s="99"/>
      <c r="AA739" s="99"/>
      <c r="AB739" s="99"/>
      <c r="AC739" s="95" t="str">
        <f t="shared" si="1"/>
        <v/>
      </c>
    </row>
    <row r="740" ht="15.75" customHeight="1">
      <c r="N740" s="99"/>
      <c r="O740" s="99"/>
      <c r="P740" s="99"/>
      <c r="Q740" s="99"/>
      <c r="R740" s="99"/>
      <c r="S740" s="99"/>
      <c r="T740" s="99"/>
      <c r="U740" s="99"/>
      <c r="V740" s="99"/>
      <c r="W740" s="99"/>
      <c r="X740" s="99"/>
      <c r="Y740" s="99"/>
      <c r="Z740" s="99"/>
      <c r="AA740" s="99"/>
      <c r="AB740" s="99"/>
      <c r="AC740" s="95" t="str">
        <f t="shared" si="1"/>
        <v/>
      </c>
    </row>
    <row r="741" ht="15.75" customHeight="1">
      <c r="N741" s="99"/>
      <c r="O741" s="99"/>
      <c r="P741" s="99"/>
      <c r="Q741" s="99"/>
      <c r="R741" s="99"/>
      <c r="S741" s="99"/>
      <c r="T741" s="99"/>
      <c r="U741" s="99"/>
      <c r="V741" s="99"/>
      <c r="W741" s="99"/>
      <c r="X741" s="99"/>
      <c r="Y741" s="99"/>
      <c r="Z741" s="99"/>
      <c r="AA741" s="99"/>
      <c r="AB741" s="99"/>
      <c r="AC741" s="95" t="str">
        <f t="shared" si="1"/>
        <v/>
      </c>
    </row>
    <row r="742" ht="15.75" customHeight="1">
      <c r="N742" s="99"/>
      <c r="O742" s="99"/>
      <c r="P742" s="99"/>
      <c r="Q742" s="99"/>
      <c r="R742" s="99"/>
      <c r="S742" s="99"/>
      <c r="T742" s="99"/>
      <c r="U742" s="99"/>
      <c r="V742" s="99"/>
      <c r="W742" s="99"/>
      <c r="X742" s="99"/>
      <c r="Y742" s="99"/>
      <c r="Z742" s="99"/>
      <c r="AA742" s="99"/>
      <c r="AB742" s="99"/>
      <c r="AC742" s="95" t="str">
        <f t="shared" si="1"/>
        <v/>
      </c>
    </row>
    <row r="743" ht="15.75" customHeight="1">
      <c r="N743" s="99"/>
      <c r="O743" s="99"/>
      <c r="P743" s="99"/>
      <c r="Q743" s="99"/>
      <c r="R743" s="99"/>
      <c r="S743" s="99"/>
      <c r="T743" s="99"/>
      <c r="U743" s="99"/>
      <c r="V743" s="99"/>
      <c r="W743" s="99"/>
      <c r="X743" s="99"/>
      <c r="Y743" s="99"/>
      <c r="Z743" s="99"/>
      <c r="AA743" s="99"/>
      <c r="AB743" s="99"/>
      <c r="AC743" s="95" t="str">
        <f t="shared" si="1"/>
        <v/>
      </c>
    </row>
    <row r="744" ht="15.75" customHeight="1">
      <c r="N744" s="99"/>
      <c r="O744" s="99"/>
      <c r="P744" s="99"/>
      <c r="Q744" s="99"/>
      <c r="R744" s="99"/>
      <c r="S744" s="99"/>
      <c r="T744" s="99"/>
      <c r="U744" s="99"/>
      <c r="V744" s="99"/>
      <c r="W744" s="99"/>
      <c r="X744" s="99"/>
      <c r="Y744" s="99"/>
      <c r="Z744" s="99"/>
      <c r="AA744" s="99"/>
      <c r="AB744" s="99"/>
      <c r="AC744" s="95" t="str">
        <f t="shared" si="1"/>
        <v/>
      </c>
    </row>
    <row r="745" ht="15.75" customHeight="1">
      <c r="N745" s="99"/>
      <c r="O745" s="99"/>
      <c r="P745" s="99"/>
      <c r="Q745" s="99"/>
      <c r="R745" s="99"/>
      <c r="S745" s="99"/>
      <c r="T745" s="99"/>
      <c r="U745" s="99"/>
      <c r="V745" s="99"/>
      <c r="W745" s="99"/>
      <c r="X745" s="99"/>
      <c r="Y745" s="99"/>
      <c r="Z745" s="99"/>
      <c r="AA745" s="99"/>
      <c r="AB745" s="99"/>
      <c r="AC745" s="95" t="str">
        <f t="shared" si="1"/>
        <v/>
      </c>
    </row>
    <row r="746" ht="15.75" customHeight="1">
      <c r="N746" s="99"/>
      <c r="O746" s="99"/>
      <c r="P746" s="99"/>
      <c r="Q746" s="99"/>
      <c r="R746" s="99"/>
      <c r="S746" s="99"/>
      <c r="T746" s="99"/>
      <c r="U746" s="99"/>
      <c r="V746" s="99"/>
      <c r="W746" s="99"/>
      <c r="X746" s="99"/>
      <c r="Y746" s="99"/>
      <c r="Z746" s="99"/>
      <c r="AA746" s="99"/>
      <c r="AB746" s="99"/>
      <c r="AC746" s="95" t="str">
        <f t="shared" si="1"/>
        <v/>
      </c>
    </row>
    <row r="747" ht="15.75" customHeight="1">
      <c r="N747" s="99"/>
      <c r="O747" s="99"/>
      <c r="P747" s="99"/>
      <c r="Q747" s="99"/>
      <c r="R747" s="99"/>
      <c r="S747" s="99"/>
      <c r="T747" s="99"/>
      <c r="U747" s="99"/>
      <c r="V747" s="99"/>
      <c r="W747" s="99"/>
      <c r="X747" s="99"/>
      <c r="Y747" s="99"/>
      <c r="Z747" s="99"/>
      <c r="AA747" s="99"/>
      <c r="AB747" s="99"/>
      <c r="AC747" s="95" t="str">
        <f t="shared" si="1"/>
        <v/>
      </c>
    </row>
    <row r="748" ht="15.75" customHeight="1">
      <c r="N748" s="99"/>
      <c r="O748" s="99"/>
      <c r="P748" s="99"/>
      <c r="Q748" s="99"/>
      <c r="R748" s="99"/>
      <c r="S748" s="99"/>
      <c r="T748" s="99"/>
      <c r="U748" s="99"/>
      <c r="V748" s="99"/>
      <c r="W748" s="99"/>
      <c r="X748" s="99"/>
      <c r="Y748" s="99"/>
      <c r="Z748" s="99"/>
      <c r="AA748" s="99"/>
      <c r="AB748" s="99"/>
      <c r="AC748" s="95" t="str">
        <f t="shared" si="1"/>
        <v/>
      </c>
    </row>
    <row r="749" ht="15.75" customHeight="1">
      <c r="N749" s="99"/>
      <c r="O749" s="99"/>
      <c r="P749" s="99"/>
      <c r="Q749" s="99"/>
      <c r="R749" s="99"/>
      <c r="S749" s="99"/>
      <c r="T749" s="99"/>
      <c r="U749" s="99"/>
      <c r="V749" s="99"/>
      <c r="W749" s="99"/>
      <c r="X749" s="99"/>
      <c r="Y749" s="99"/>
      <c r="Z749" s="99"/>
      <c r="AA749" s="99"/>
      <c r="AB749" s="99"/>
      <c r="AC749" s="95" t="str">
        <f t="shared" si="1"/>
        <v/>
      </c>
    </row>
    <row r="750" ht="15.75" customHeight="1">
      <c r="N750" s="99"/>
      <c r="O750" s="99"/>
      <c r="P750" s="99"/>
      <c r="Q750" s="99"/>
      <c r="R750" s="99"/>
      <c r="S750" s="99"/>
      <c r="T750" s="99"/>
      <c r="U750" s="99"/>
      <c r="V750" s="99"/>
      <c r="W750" s="99"/>
      <c r="X750" s="99"/>
      <c r="Y750" s="99"/>
      <c r="Z750" s="99"/>
      <c r="AA750" s="99"/>
      <c r="AB750" s="99"/>
      <c r="AC750" s="95" t="str">
        <f t="shared" si="1"/>
        <v/>
      </c>
    </row>
    <row r="751" ht="15.75" customHeight="1">
      <c r="N751" s="99"/>
      <c r="O751" s="99"/>
      <c r="P751" s="99"/>
      <c r="Q751" s="99"/>
      <c r="R751" s="99"/>
      <c r="S751" s="99"/>
      <c r="T751" s="99"/>
      <c r="U751" s="99"/>
      <c r="V751" s="99"/>
      <c r="W751" s="99"/>
      <c r="X751" s="99"/>
      <c r="Y751" s="99"/>
      <c r="Z751" s="99"/>
      <c r="AA751" s="99"/>
      <c r="AB751" s="99"/>
      <c r="AC751" s="95" t="str">
        <f t="shared" si="1"/>
        <v/>
      </c>
    </row>
    <row r="752" ht="15.75" customHeight="1">
      <c r="N752" s="99"/>
      <c r="O752" s="99"/>
      <c r="P752" s="99"/>
      <c r="Q752" s="99"/>
      <c r="R752" s="99"/>
      <c r="S752" s="99"/>
      <c r="T752" s="99"/>
      <c r="U752" s="99"/>
      <c r="V752" s="99"/>
      <c r="W752" s="99"/>
      <c r="X752" s="99"/>
      <c r="Y752" s="99"/>
      <c r="Z752" s="99"/>
      <c r="AA752" s="99"/>
      <c r="AB752" s="99"/>
      <c r="AC752" s="95" t="str">
        <f t="shared" si="1"/>
        <v/>
      </c>
    </row>
    <row r="753" ht="15.75" customHeight="1">
      <c r="N753" s="99"/>
      <c r="O753" s="99"/>
      <c r="P753" s="99"/>
      <c r="Q753" s="99"/>
      <c r="R753" s="99"/>
      <c r="S753" s="99"/>
      <c r="T753" s="99"/>
      <c r="U753" s="99"/>
      <c r="V753" s="99"/>
      <c r="W753" s="99"/>
      <c r="X753" s="99"/>
      <c r="Y753" s="99"/>
      <c r="Z753" s="99"/>
      <c r="AA753" s="99"/>
      <c r="AB753" s="99"/>
      <c r="AC753" s="95" t="str">
        <f t="shared" si="1"/>
        <v/>
      </c>
    </row>
    <row r="754" ht="15.75" customHeight="1">
      <c r="N754" s="99"/>
      <c r="O754" s="99"/>
      <c r="P754" s="99"/>
      <c r="Q754" s="99"/>
      <c r="R754" s="99"/>
      <c r="S754" s="99"/>
      <c r="T754" s="99"/>
      <c r="U754" s="99"/>
      <c r="V754" s="99"/>
      <c r="W754" s="99"/>
      <c r="X754" s="99"/>
      <c r="Y754" s="99"/>
      <c r="Z754" s="99"/>
      <c r="AA754" s="99"/>
      <c r="AB754" s="99"/>
      <c r="AC754" s="95" t="str">
        <f t="shared" si="1"/>
        <v/>
      </c>
    </row>
    <row r="755" ht="15.75" customHeight="1">
      <c r="N755" s="99"/>
      <c r="O755" s="99"/>
      <c r="P755" s="99"/>
      <c r="Q755" s="99"/>
      <c r="R755" s="99"/>
      <c r="S755" s="99"/>
      <c r="T755" s="99"/>
      <c r="U755" s="99"/>
      <c r="V755" s="99"/>
      <c r="W755" s="99"/>
      <c r="X755" s="99"/>
      <c r="Y755" s="99"/>
      <c r="Z755" s="99"/>
      <c r="AA755" s="99"/>
      <c r="AB755" s="99"/>
      <c r="AC755" s="95" t="str">
        <f t="shared" si="1"/>
        <v/>
      </c>
    </row>
    <row r="756" ht="15.75" customHeight="1">
      <c r="N756" s="99"/>
      <c r="O756" s="99"/>
      <c r="P756" s="99"/>
      <c r="Q756" s="99"/>
      <c r="R756" s="99"/>
      <c r="S756" s="99"/>
      <c r="T756" s="99"/>
      <c r="U756" s="99"/>
      <c r="V756" s="99"/>
      <c r="W756" s="99"/>
      <c r="X756" s="99"/>
      <c r="Y756" s="99"/>
      <c r="Z756" s="99"/>
      <c r="AA756" s="99"/>
      <c r="AB756" s="99"/>
      <c r="AC756" s="95" t="str">
        <f t="shared" si="1"/>
        <v/>
      </c>
    </row>
    <row r="757" ht="15.75" customHeight="1">
      <c r="N757" s="99"/>
      <c r="O757" s="99"/>
      <c r="P757" s="99"/>
      <c r="Q757" s="99"/>
      <c r="R757" s="99"/>
      <c r="S757" s="99"/>
      <c r="T757" s="99"/>
      <c r="U757" s="99"/>
      <c r="V757" s="99"/>
      <c r="W757" s="99"/>
      <c r="X757" s="99"/>
      <c r="Y757" s="99"/>
      <c r="Z757" s="99"/>
      <c r="AA757" s="99"/>
      <c r="AB757" s="99"/>
      <c r="AC757" s="95" t="str">
        <f t="shared" si="1"/>
        <v/>
      </c>
    </row>
    <row r="758" ht="15.75" customHeight="1">
      <c r="N758" s="99"/>
      <c r="O758" s="99"/>
      <c r="P758" s="99"/>
      <c r="Q758" s="99"/>
      <c r="R758" s="99"/>
      <c r="S758" s="99"/>
      <c r="T758" s="99"/>
      <c r="U758" s="99"/>
      <c r="V758" s="99"/>
      <c r="W758" s="99"/>
      <c r="X758" s="99"/>
      <c r="Y758" s="99"/>
      <c r="Z758" s="99"/>
      <c r="AA758" s="99"/>
      <c r="AB758" s="99"/>
      <c r="AC758" s="95" t="str">
        <f t="shared" si="1"/>
        <v/>
      </c>
    </row>
    <row r="759" ht="15.75" customHeight="1">
      <c r="N759" s="99"/>
      <c r="O759" s="99"/>
      <c r="P759" s="99"/>
      <c r="Q759" s="99"/>
      <c r="R759" s="99"/>
      <c r="S759" s="99"/>
      <c r="T759" s="99"/>
      <c r="U759" s="99"/>
      <c r="V759" s="99"/>
      <c r="W759" s="99"/>
      <c r="X759" s="99"/>
      <c r="Y759" s="99"/>
      <c r="Z759" s="99"/>
      <c r="AA759" s="99"/>
      <c r="AB759" s="99"/>
      <c r="AC759" s="95" t="str">
        <f t="shared" si="1"/>
        <v/>
      </c>
    </row>
    <row r="760" ht="15.75" customHeight="1">
      <c r="N760" s="99"/>
      <c r="O760" s="99"/>
      <c r="P760" s="99"/>
      <c r="Q760" s="99"/>
      <c r="R760" s="99"/>
      <c r="S760" s="99"/>
      <c r="T760" s="99"/>
      <c r="U760" s="99"/>
      <c r="V760" s="99"/>
      <c r="W760" s="99"/>
      <c r="X760" s="99"/>
      <c r="Y760" s="99"/>
      <c r="Z760" s="99"/>
      <c r="AA760" s="99"/>
      <c r="AB760" s="99"/>
      <c r="AC760" s="95" t="str">
        <f t="shared" si="1"/>
        <v/>
      </c>
    </row>
    <row r="761" ht="15.75" customHeight="1">
      <c r="N761" s="99"/>
      <c r="O761" s="99"/>
      <c r="P761" s="99"/>
      <c r="Q761" s="99"/>
      <c r="R761" s="99"/>
      <c r="S761" s="99"/>
      <c r="T761" s="99"/>
      <c r="U761" s="99"/>
      <c r="V761" s="99"/>
      <c r="W761" s="99"/>
      <c r="X761" s="99"/>
      <c r="Y761" s="99"/>
      <c r="Z761" s="99"/>
      <c r="AA761" s="99"/>
      <c r="AB761" s="99"/>
      <c r="AC761" s="95" t="str">
        <f t="shared" si="1"/>
        <v/>
      </c>
    </row>
    <row r="762" ht="15.75" customHeight="1">
      <c r="N762" s="99"/>
      <c r="O762" s="99"/>
      <c r="P762" s="99"/>
      <c r="Q762" s="99"/>
      <c r="R762" s="99"/>
      <c r="S762" s="99"/>
      <c r="T762" s="99"/>
      <c r="U762" s="99"/>
      <c r="V762" s="99"/>
      <c r="W762" s="99"/>
      <c r="X762" s="99"/>
      <c r="Y762" s="99"/>
      <c r="Z762" s="99"/>
      <c r="AA762" s="99"/>
      <c r="AB762" s="99"/>
      <c r="AC762" s="95" t="str">
        <f t="shared" si="1"/>
        <v/>
      </c>
    </row>
    <row r="763" ht="15.75" customHeight="1">
      <c r="N763" s="99"/>
      <c r="O763" s="99"/>
      <c r="P763" s="99"/>
      <c r="Q763" s="99"/>
      <c r="R763" s="99"/>
      <c r="S763" s="99"/>
      <c r="T763" s="99"/>
      <c r="U763" s="99"/>
      <c r="V763" s="99"/>
      <c r="W763" s="99"/>
      <c r="X763" s="99"/>
      <c r="Y763" s="99"/>
      <c r="Z763" s="99"/>
      <c r="AA763" s="99"/>
      <c r="AB763" s="99"/>
      <c r="AC763" s="95" t="str">
        <f t="shared" si="1"/>
        <v/>
      </c>
    </row>
    <row r="764" ht="15.75" customHeight="1">
      <c r="N764" s="99"/>
      <c r="O764" s="99"/>
      <c r="P764" s="99"/>
      <c r="Q764" s="99"/>
      <c r="R764" s="99"/>
      <c r="S764" s="99"/>
      <c r="T764" s="99"/>
      <c r="U764" s="99"/>
      <c r="V764" s="99"/>
      <c r="W764" s="99"/>
      <c r="X764" s="99"/>
      <c r="Y764" s="99"/>
      <c r="Z764" s="99"/>
      <c r="AA764" s="99"/>
      <c r="AB764" s="99"/>
      <c r="AC764" s="95" t="str">
        <f t="shared" si="1"/>
        <v/>
      </c>
    </row>
    <row r="765" ht="15.75" customHeight="1">
      <c r="N765" s="99"/>
      <c r="O765" s="99"/>
      <c r="P765" s="99"/>
      <c r="Q765" s="99"/>
      <c r="R765" s="99"/>
      <c r="S765" s="99"/>
      <c r="T765" s="99"/>
      <c r="U765" s="99"/>
      <c r="V765" s="99"/>
      <c r="W765" s="99"/>
      <c r="X765" s="99"/>
      <c r="Y765" s="99"/>
      <c r="Z765" s="99"/>
      <c r="AA765" s="99"/>
      <c r="AB765" s="99"/>
      <c r="AC765" s="95" t="str">
        <f t="shared" si="1"/>
        <v/>
      </c>
    </row>
    <row r="766" ht="15.75" customHeight="1">
      <c r="N766" s="99"/>
      <c r="O766" s="99"/>
      <c r="P766" s="99"/>
      <c r="Q766" s="99"/>
      <c r="R766" s="99"/>
      <c r="S766" s="99"/>
      <c r="T766" s="99"/>
      <c r="U766" s="99"/>
      <c r="V766" s="99"/>
      <c r="W766" s="99"/>
      <c r="X766" s="99"/>
      <c r="Y766" s="99"/>
      <c r="Z766" s="99"/>
      <c r="AA766" s="99"/>
      <c r="AB766" s="99"/>
      <c r="AC766" s="95" t="str">
        <f t="shared" si="1"/>
        <v/>
      </c>
    </row>
    <row r="767" ht="15.75" customHeight="1">
      <c r="N767" s="99"/>
      <c r="O767" s="99"/>
      <c r="P767" s="99"/>
      <c r="Q767" s="99"/>
      <c r="R767" s="99"/>
      <c r="S767" s="99"/>
      <c r="T767" s="99"/>
      <c r="U767" s="99"/>
      <c r="V767" s="99"/>
      <c r="W767" s="99"/>
      <c r="X767" s="99"/>
      <c r="Y767" s="99"/>
      <c r="Z767" s="99"/>
      <c r="AA767" s="99"/>
      <c r="AB767" s="99"/>
      <c r="AC767" s="95" t="str">
        <f t="shared" si="1"/>
        <v/>
      </c>
    </row>
    <row r="768" ht="15.75" customHeight="1">
      <c r="N768" s="99"/>
      <c r="O768" s="99"/>
      <c r="P768" s="99"/>
      <c r="Q768" s="99"/>
      <c r="R768" s="99"/>
      <c r="S768" s="99"/>
      <c r="T768" s="99"/>
      <c r="U768" s="99"/>
      <c r="V768" s="99"/>
      <c r="W768" s="99"/>
      <c r="X768" s="99"/>
      <c r="Y768" s="99"/>
      <c r="Z768" s="99"/>
      <c r="AA768" s="99"/>
      <c r="AB768" s="99"/>
      <c r="AC768" s="95" t="str">
        <f t="shared" si="1"/>
        <v/>
      </c>
    </row>
    <row r="769" ht="15.75" customHeight="1">
      <c r="N769" s="99"/>
      <c r="O769" s="99"/>
      <c r="P769" s="99"/>
      <c r="Q769" s="99"/>
      <c r="R769" s="99"/>
      <c r="S769" s="99"/>
      <c r="T769" s="99"/>
      <c r="U769" s="99"/>
      <c r="V769" s="99"/>
      <c r="W769" s="99"/>
      <c r="X769" s="99"/>
      <c r="Y769" s="99"/>
      <c r="Z769" s="99"/>
      <c r="AA769" s="99"/>
      <c r="AB769" s="99"/>
      <c r="AC769" s="95" t="str">
        <f t="shared" si="1"/>
        <v/>
      </c>
    </row>
    <row r="770" ht="15.75" customHeight="1">
      <c r="N770" s="99"/>
      <c r="O770" s="99"/>
      <c r="P770" s="99"/>
      <c r="Q770" s="99"/>
      <c r="R770" s="99"/>
      <c r="S770" s="99"/>
      <c r="T770" s="99"/>
      <c r="U770" s="99"/>
      <c r="V770" s="99"/>
      <c r="W770" s="99"/>
      <c r="X770" s="99"/>
      <c r="Y770" s="99"/>
      <c r="Z770" s="99"/>
      <c r="AA770" s="99"/>
      <c r="AB770" s="99"/>
      <c r="AC770" s="95" t="str">
        <f t="shared" si="1"/>
        <v/>
      </c>
    </row>
    <row r="771" ht="15.75" customHeight="1">
      <c r="N771" s="99"/>
      <c r="O771" s="99"/>
      <c r="P771" s="99"/>
      <c r="Q771" s="99"/>
      <c r="R771" s="99"/>
      <c r="S771" s="99"/>
      <c r="T771" s="99"/>
      <c r="U771" s="99"/>
      <c r="V771" s="99"/>
      <c r="W771" s="99"/>
      <c r="X771" s="99"/>
      <c r="Y771" s="99"/>
      <c r="Z771" s="99"/>
      <c r="AA771" s="99"/>
      <c r="AB771" s="99"/>
      <c r="AC771" s="95" t="str">
        <f t="shared" si="1"/>
        <v/>
      </c>
    </row>
    <row r="772" ht="15.75" customHeight="1">
      <c r="N772" s="99"/>
      <c r="O772" s="99"/>
      <c r="P772" s="99"/>
      <c r="Q772" s="99"/>
      <c r="R772" s="99"/>
      <c r="S772" s="99"/>
      <c r="T772" s="99"/>
      <c r="U772" s="99"/>
      <c r="V772" s="99"/>
      <c r="W772" s="99"/>
      <c r="X772" s="99"/>
      <c r="Y772" s="99"/>
      <c r="Z772" s="99"/>
      <c r="AA772" s="99"/>
      <c r="AB772" s="99"/>
      <c r="AC772" s="95" t="str">
        <f t="shared" si="1"/>
        <v/>
      </c>
    </row>
    <row r="773" ht="15.75" customHeight="1">
      <c r="N773" s="99"/>
      <c r="O773" s="99"/>
      <c r="P773" s="99"/>
      <c r="Q773" s="99"/>
      <c r="R773" s="99"/>
      <c r="S773" s="99"/>
      <c r="T773" s="99"/>
      <c r="U773" s="99"/>
      <c r="V773" s="99"/>
      <c r="W773" s="99"/>
      <c r="X773" s="99"/>
      <c r="Y773" s="99"/>
      <c r="Z773" s="99"/>
      <c r="AA773" s="99"/>
      <c r="AB773" s="99"/>
      <c r="AC773" s="95" t="str">
        <f t="shared" si="1"/>
        <v/>
      </c>
    </row>
    <row r="774" ht="15.75" customHeight="1">
      <c r="N774" s="99"/>
      <c r="O774" s="99"/>
      <c r="P774" s="99"/>
      <c r="Q774" s="99"/>
      <c r="R774" s="99"/>
      <c r="S774" s="99"/>
      <c r="T774" s="99"/>
      <c r="U774" s="99"/>
      <c r="V774" s="99"/>
      <c r="W774" s="99"/>
      <c r="X774" s="99"/>
      <c r="Y774" s="99"/>
      <c r="Z774" s="99"/>
      <c r="AA774" s="99"/>
      <c r="AB774" s="99"/>
      <c r="AC774" s="95" t="str">
        <f t="shared" si="1"/>
        <v/>
      </c>
    </row>
    <row r="775" ht="15.75" customHeight="1">
      <c r="N775" s="99"/>
      <c r="O775" s="99"/>
      <c r="P775" s="99"/>
      <c r="Q775" s="99"/>
      <c r="R775" s="99"/>
      <c r="S775" s="99"/>
      <c r="T775" s="99"/>
      <c r="U775" s="99"/>
      <c r="V775" s="99"/>
      <c r="W775" s="99"/>
      <c r="X775" s="99"/>
      <c r="Y775" s="99"/>
      <c r="Z775" s="99"/>
      <c r="AA775" s="99"/>
      <c r="AB775" s="99"/>
      <c r="AC775" s="95" t="str">
        <f t="shared" si="1"/>
        <v/>
      </c>
    </row>
    <row r="776" ht="15.75" customHeight="1">
      <c r="N776" s="99"/>
      <c r="O776" s="99"/>
      <c r="P776" s="99"/>
      <c r="Q776" s="99"/>
      <c r="R776" s="99"/>
      <c r="S776" s="99"/>
      <c r="T776" s="99"/>
      <c r="U776" s="99"/>
      <c r="V776" s="99"/>
      <c r="W776" s="99"/>
      <c r="X776" s="99"/>
      <c r="Y776" s="99"/>
      <c r="Z776" s="99"/>
      <c r="AA776" s="99"/>
      <c r="AB776" s="99"/>
      <c r="AC776" s="95" t="str">
        <f t="shared" si="1"/>
        <v/>
      </c>
    </row>
    <row r="777" ht="15.75" customHeight="1">
      <c r="N777" s="99"/>
      <c r="O777" s="99"/>
      <c r="P777" s="99"/>
      <c r="Q777" s="99"/>
      <c r="R777" s="99"/>
      <c r="S777" s="99"/>
      <c r="T777" s="99"/>
      <c r="U777" s="99"/>
      <c r="V777" s="99"/>
      <c r="W777" s="99"/>
      <c r="X777" s="99"/>
      <c r="Y777" s="99"/>
      <c r="Z777" s="99"/>
      <c r="AA777" s="99"/>
      <c r="AB777" s="99"/>
      <c r="AC777" s="95" t="str">
        <f t="shared" si="1"/>
        <v/>
      </c>
    </row>
    <row r="778" ht="15.75" customHeight="1">
      <c r="N778" s="99"/>
      <c r="O778" s="99"/>
      <c r="P778" s="99"/>
      <c r="Q778" s="99"/>
      <c r="R778" s="99"/>
      <c r="S778" s="99"/>
      <c r="T778" s="99"/>
      <c r="U778" s="99"/>
      <c r="V778" s="99"/>
      <c r="W778" s="99"/>
      <c r="X778" s="99"/>
      <c r="Y778" s="99"/>
      <c r="Z778" s="99"/>
      <c r="AA778" s="99"/>
      <c r="AB778" s="99"/>
      <c r="AC778" s="95" t="str">
        <f t="shared" si="1"/>
        <v/>
      </c>
    </row>
    <row r="779" ht="15.75" customHeight="1">
      <c r="N779" s="99"/>
      <c r="O779" s="99"/>
      <c r="P779" s="99"/>
      <c r="Q779" s="99"/>
      <c r="R779" s="99"/>
      <c r="S779" s="99"/>
      <c r="T779" s="99"/>
      <c r="U779" s="99"/>
      <c r="V779" s="99"/>
      <c r="W779" s="99"/>
      <c r="X779" s="99"/>
      <c r="Y779" s="99"/>
      <c r="Z779" s="99"/>
      <c r="AA779" s="99"/>
      <c r="AB779" s="99"/>
      <c r="AC779" s="95" t="str">
        <f t="shared" si="1"/>
        <v/>
      </c>
    </row>
    <row r="780" ht="15.75" customHeight="1">
      <c r="N780" s="99"/>
      <c r="O780" s="99"/>
      <c r="P780" s="99"/>
      <c r="Q780" s="99"/>
      <c r="R780" s="99"/>
      <c r="S780" s="99"/>
      <c r="T780" s="99"/>
      <c r="U780" s="99"/>
      <c r="V780" s="99"/>
      <c r="W780" s="99"/>
      <c r="X780" s="99"/>
      <c r="Y780" s="99"/>
      <c r="Z780" s="99"/>
      <c r="AA780" s="99"/>
      <c r="AB780" s="99"/>
      <c r="AC780" s="95" t="str">
        <f t="shared" si="1"/>
        <v/>
      </c>
    </row>
    <row r="781" ht="15.75" customHeight="1">
      <c r="N781" s="99"/>
      <c r="O781" s="99"/>
      <c r="P781" s="99"/>
      <c r="Q781" s="99"/>
      <c r="R781" s="99"/>
      <c r="S781" s="99"/>
      <c r="T781" s="99"/>
      <c r="U781" s="99"/>
      <c r="V781" s="99"/>
      <c r="W781" s="99"/>
      <c r="X781" s="99"/>
      <c r="Y781" s="99"/>
      <c r="Z781" s="99"/>
      <c r="AA781" s="99"/>
      <c r="AB781" s="99"/>
      <c r="AC781" s="95" t="str">
        <f t="shared" si="1"/>
        <v/>
      </c>
    </row>
    <row r="782" ht="15.75" customHeight="1">
      <c r="N782" s="99"/>
      <c r="O782" s="99"/>
      <c r="P782" s="99"/>
      <c r="Q782" s="99"/>
      <c r="R782" s="99"/>
      <c r="S782" s="99"/>
      <c r="T782" s="99"/>
      <c r="U782" s="99"/>
      <c r="V782" s="99"/>
      <c r="W782" s="99"/>
      <c r="X782" s="99"/>
      <c r="Y782" s="99"/>
      <c r="Z782" s="99"/>
      <c r="AA782" s="99"/>
      <c r="AB782" s="99"/>
      <c r="AC782" s="95" t="str">
        <f t="shared" si="1"/>
        <v/>
      </c>
    </row>
    <row r="783" ht="15.75" customHeight="1">
      <c r="N783" s="99"/>
      <c r="O783" s="99"/>
      <c r="P783" s="99"/>
      <c r="Q783" s="99"/>
      <c r="R783" s="99"/>
      <c r="S783" s="99"/>
      <c r="T783" s="99"/>
      <c r="U783" s="99"/>
      <c r="V783" s="99"/>
      <c r="W783" s="99"/>
      <c r="X783" s="99"/>
      <c r="Y783" s="99"/>
      <c r="Z783" s="99"/>
      <c r="AA783" s="99"/>
      <c r="AB783" s="99"/>
      <c r="AC783" s="95" t="str">
        <f t="shared" si="1"/>
        <v/>
      </c>
    </row>
    <row r="784" ht="15.75" customHeight="1">
      <c r="N784" s="99"/>
      <c r="O784" s="99"/>
      <c r="P784" s="99"/>
      <c r="Q784" s="99"/>
      <c r="R784" s="99"/>
      <c r="S784" s="99"/>
      <c r="T784" s="99"/>
      <c r="U784" s="99"/>
      <c r="V784" s="99"/>
      <c r="W784" s="99"/>
      <c r="X784" s="99"/>
      <c r="Y784" s="99"/>
      <c r="Z784" s="99"/>
      <c r="AA784" s="99"/>
      <c r="AB784" s="99"/>
      <c r="AC784" s="95" t="str">
        <f t="shared" si="1"/>
        <v/>
      </c>
    </row>
    <row r="785" ht="15.75" customHeight="1">
      <c r="N785" s="99"/>
      <c r="O785" s="99"/>
      <c r="P785" s="99"/>
      <c r="Q785" s="99"/>
      <c r="R785" s="99"/>
      <c r="S785" s="99"/>
      <c r="T785" s="99"/>
      <c r="U785" s="99"/>
      <c r="V785" s="99"/>
      <c r="W785" s="99"/>
      <c r="X785" s="99"/>
      <c r="Y785" s="99"/>
      <c r="Z785" s="99"/>
      <c r="AA785" s="99"/>
      <c r="AB785" s="99"/>
      <c r="AC785" s="95" t="str">
        <f t="shared" si="1"/>
        <v/>
      </c>
    </row>
    <row r="786" ht="15.75" customHeight="1">
      <c r="N786" s="99"/>
      <c r="O786" s="99"/>
      <c r="P786" s="99"/>
      <c r="Q786" s="99"/>
      <c r="R786" s="99"/>
      <c r="S786" s="99"/>
      <c r="T786" s="99"/>
      <c r="U786" s="99"/>
      <c r="V786" s="99"/>
      <c r="W786" s="99"/>
      <c r="X786" s="99"/>
      <c r="Y786" s="99"/>
      <c r="Z786" s="99"/>
      <c r="AA786" s="99"/>
      <c r="AB786" s="99"/>
      <c r="AC786" s="95" t="str">
        <f t="shared" si="1"/>
        <v/>
      </c>
    </row>
    <row r="787" ht="15.75" customHeight="1">
      <c r="N787" s="99"/>
      <c r="O787" s="99"/>
      <c r="P787" s="99"/>
      <c r="Q787" s="99"/>
      <c r="R787" s="99"/>
      <c r="S787" s="99"/>
      <c r="T787" s="99"/>
      <c r="U787" s="99"/>
      <c r="V787" s="99"/>
      <c r="W787" s="99"/>
      <c r="X787" s="99"/>
      <c r="Y787" s="99"/>
      <c r="Z787" s="99"/>
      <c r="AA787" s="99"/>
      <c r="AB787" s="99"/>
      <c r="AC787" s="95" t="str">
        <f t="shared" si="1"/>
        <v/>
      </c>
    </row>
    <row r="788" ht="15.75" customHeight="1">
      <c r="N788" s="99"/>
      <c r="O788" s="99"/>
      <c r="P788" s="99"/>
      <c r="Q788" s="99"/>
      <c r="R788" s="99"/>
      <c r="S788" s="99"/>
      <c r="T788" s="99"/>
      <c r="U788" s="99"/>
      <c r="V788" s="99"/>
      <c r="W788" s="99"/>
      <c r="X788" s="99"/>
      <c r="Y788" s="99"/>
      <c r="Z788" s="99"/>
      <c r="AA788" s="99"/>
      <c r="AB788" s="99"/>
      <c r="AC788" s="95" t="str">
        <f t="shared" si="1"/>
        <v/>
      </c>
    </row>
    <row r="789" ht="15.75" customHeight="1">
      <c r="N789" s="99"/>
      <c r="O789" s="99"/>
      <c r="P789" s="99"/>
      <c r="Q789" s="99"/>
      <c r="R789" s="99"/>
      <c r="S789" s="99"/>
      <c r="T789" s="99"/>
      <c r="U789" s="99"/>
      <c r="V789" s="99"/>
      <c r="W789" s="99"/>
      <c r="X789" s="99"/>
      <c r="Y789" s="99"/>
      <c r="Z789" s="99"/>
      <c r="AA789" s="99"/>
      <c r="AB789" s="99"/>
      <c r="AC789" s="95" t="str">
        <f t="shared" si="1"/>
        <v/>
      </c>
    </row>
    <row r="790" ht="15.75" customHeight="1">
      <c r="N790" s="99"/>
      <c r="O790" s="99"/>
      <c r="P790" s="99"/>
      <c r="Q790" s="99"/>
      <c r="R790" s="99"/>
      <c r="S790" s="99"/>
      <c r="T790" s="99"/>
      <c r="U790" s="99"/>
      <c r="V790" s="99"/>
      <c r="W790" s="99"/>
      <c r="X790" s="99"/>
      <c r="Y790" s="99"/>
      <c r="Z790" s="99"/>
      <c r="AA790" s="99"/>
      <c r="AB790" s="99"/>
      <c r="AC790" s="95" t="str">
        <f t="shared" si="1"/>
        <v/>
      </c>
    </row>
    <row r="791" ht="15.75" customHeight="1">
      <c r="N791" s="99"/>
      <c r="O791" s="99"/>
      <c r="P791" s="99"/>
      <c r="Q791" s="99"/>
      <c r="R791" s="99"/>
      <c r="S791" s="99"/>
      <c r="T791" s="99"/>
      <c r="U791" s="99"/>
      <c r="V791" s="99"/>
      <c r="W791" s="99"/>
      <c r="X791" s="99"/>
      <c r="Y791" s="99"/>
      <c r="Z791" s="99"/>
      <c r="AA791" s="99"/>
      <c r="AB791" s="99"/>
      <c r="AC791" s="95" t="str">
        <f t="shared" si="1"/>
        <v/>
      </c>
    </row>
    <row r="792" ht="15.75" customHeight="1">
      <c r="N792" s="99"/>
      <c r="O792" s="99"/>
      <c r="P792" s="99"/>
      <c r="Q792" s="99"/>
      <c r="R792" s="99"/>
      <c r="S792" s="99"/>
      <c r="T792" s="99"/>
      <c r="U792" s="99"/>
      <c r="V792" s="99"/>
      <c r="W792" s="99"/>
      <c r="X792" s="99"/>
      <c r="Y792" s="99"/>
      <c r="Z792" s="99"/>
      <c r="AA792" s="99"/>
      <c r="AB792" s="99"/>
      <c r="AC792" s="95" t="str">
        <f t="shared" si="1"/>
        <v/>
      </c>
    </row>
    <row r="793" ht="15.75" customHeight="1">
      <c r="N793" s="99"/>
      <c r="O793" s="99"/>
      <c r="P793" s="99"/>
      <c r="Q793" s="99"/>
      <c r="R793" s="99"/>
      <c r="S793" s="99"/>
      <c r="T793" s="99"/>
      <c r="U793" s="99"/>
      <c r="V793" s="99"/>
      <c r="W793" s="99"/>
      <c r="X793" s="99"/>
      <c r="Y793" s="99"/>
      <c r="Z793" s="99"/>
      <c r="AA793" s="99"/>
      <c r="AB793" s="99"/>
      <c r="AC793" s="95" t="str">
        <f t="shared" si="1"/>
        <v/>
      </c>
    </row>
    <row r="794" ht="15.75" customHeight="1">
      <c r="N794" s="99"/>
      <c r="O794" s="99"/>
      <c r="P794" s="99"/>
      <c r="Q794" s="99"/>
      <c r="R794" s="99"/>
      <c r="S794" s="99"/>
      <c r="T794" s="99"/>
      <c r="U794" s="99"/>
      <c r="V794" s="99"/>
      <c r="W794" s="99"/>
      <c r="X794" s="99"/>
      <c r="Y794" s="99"/>
      <c r="Z794" s="99"/>
      <c r="AA794" s="99"/>
      <c r="AB794" s="99"/>
      <c r="AC794" s="95" t="str">
        <f t="shared" si="1"/>
        <v/>
      </c>
    </row>
    <row r="795" ht="15.75" customHeight="1">
      <c r="N795" s="99"/>
      <c r="O795" s="99"/>
      <c r="P795" s="99"/>
      <c r="Q795" s="99"/>
      <c r="R795" s="99"/>
      <c r="S795" s="99"/>
      <c r="T795" s="99"/>
      <c r="U795" s="99"/>
      <c r="V795" s="99"/>
      <c r="W795" s="99"/>
      <c r="X795" s="99"/>
      <c r="Y795" s="99"/>
      <c r="Z795" s="99"/>
      <c r="AA795" s="99"/>
      <c r="AB795" s="99"/>
      <c r="AC795" s="95" t="str">
        <f t="shared" si="1"/>
        <v/>
      </c>
    </row>
    <row r="796" ht="15.75" customHeight="1">
      <c r="N796" s="99"/>
      <c r="O796" s="99"/>
      <c r="P796" s="99"/>
      <c r="Q796" s="99"/>
      <c r="R796" s="99"/>
      <c r="S796" s="99"/>
      <c r="T796" s="99"/>
      <c r="U796" s="99"/>
      <c r="V796" s="99"/>
      <c r="W796" s="99"/>
      <c r="X796" s="99"/>
      <c r="Y796" s="99"/>
      <c r="Z796" s="99"/>
      <c r="AA796" s="99"/>
      <c r="AB796" s="99"/>
      <c r="AC796" s="95" t="str">
        <f t="shared" si="1"/>
        <v/>
      </c>
    </row>
    <row r="797" ht="15.75" customHeight="1">
      <c r="N797" s="99"/>
      <c r="O797" s="99"/>
      <c r="P797" s="99"/>
      <c r="Q797" s="99"/>
      <c r="R797" s="99"/>
      <c r="S797" s="99"/>
      <c r="T797" s="99"/>
      <c r="U797" s="99"/>
      <c r="V797" s="99"/>
      <c r="W797" s="99"/>
      <c r="X797" s="99"/>
      <c r="Y797" s="99"/>
      <c r="Z797" s="99"/>
      <c r="AA797" s="99"/>
      <c r="AB797" s="99"/>
      <c r="AC797" s="95" t="str">
        <f t="shared" si="1"/>
        <v/>
      </c>
    </row>
    <row r="798" ht="15.75" customHeight="1">
      <c r="N798" s="99"/>
      <c r="O798" s="99"/>
      <c r="P798" s="99"/>
      <c r="Q798" s="99"/>
      <c r="R798" s="99"/>
      <c r="S798" s="99"/>
      <c r="T798" s="99"/>
      <c r="U798" s="99"/>
      <c r="V798" s="99"/>
      <c r="W798" s="99"/>
      <c r="X798" s="99"/>
      <c r="Y798" s="99"/>
      <c r="Z798" s="99"/>
      <c r="AA798" s="99"/>
      <c r="AB798" s="99"/>
      <c r="AC798" s="95" t="str">
        <f t="shared" si="1"/>
        <v/>
      </c>
    </row>
    <row r="799" ht="15.75" customHeight="1">
      <c r="N799" s="99"/>
      <c r="O799" s="99"/>
      <c r="P799" s="99"/>
      <c r="Q799" s="99"/>
      <c r="R799" s="99"/>
      <c r="S799" s="99"/>
      <c r="T799" s="99"/>
      <c r="U799" s="99"/>
      <c r="V799" s="99"/>
      <c r="W799" s="99"/>
      <c r="X799" s="99"/>
      <c r="Y799" s="99"/>
      <c r="Z799" s="99"/>
      <c r="AA799" s="99"/>
      <c r="AB799" s="99"/>
      <c r="AC799" s="95" t="str">
        <f t="shared" si="1"/>
        <v/>
      </c>
    </row>
    <row r="800" ht="15.75" customHeight="1">
      <c r="N800" s="99"/>
      <c r="O800" s="99"/>
      <c r="P800" s="99"/>
      <c r="Q800" s="99"/>
      <c r="R800" s="99"/>
      <c r="S800" s="99"/>
      <c r="T800" s="99"/>
      <c r="U800" s="99"/>
      <c r="V800" s="99"/>
      <c r="W800" s="99"/>
      <c r="X800" s="99"/>
      <c r="Y800" s="99"/>
      <c r="Z800" s="99"/>
      <c r="AA800" s="99"/>
      <c r="AB800" s="99"/>
      <c r="AC800" s="95" t="str">
        <f t="shared" si="1"/>
        <v/>
      </c>
    </row>
    <row r="801" ht="15.75" customHeight="1">
      <c r="N801" s="99"/>
      <c r="O801" s="99"/>
      <c r="P801" s="99"/>
      <c r="Q801" s="99"/>
      <c r="R801" s="99"/>
      <c r="S801" s="99"/>
      <c r="T801" s="99"/>
      <c r="U801" s="99"/>
      <c r="V801" s="99"/>
      <c r="W801" s="99"/>
      <c r="X801" s="99"/>
      <c r="Y801" s="99"/>
      <c r="Z801" s="99"/>
      <c r="AA801" s="99"/>
      <c r="AB801" s="99"/>
      <c r="AC801" s="95" t="str">
        <f t="shared" si="1"/>
        <v/>
      </c>
    </row>
    <row r="802" ht="15.75" customHeight="1">
      <c r="N802" s="99"/>
      <c r="O802" s="99"/>
      <c r="P802" s="99"/>
      <c r="Q802" s="99"/>
      <c r="R802" s="99"/>
      <c r="S802" s="99"/>
      <c r="T802" s="99"/>
      <c r="U802" s="99"/>
      <c r="V802" s="99"/>
      <c r="W802" s="99"/>
      <c r="X802" s="99"/>
      <c r="Y802" s="99"/>
      <c r="Z802" s="99"/>
      <c r="AA802" s="99"/>
      <c r="AB802" s="99"/>
      <c r="AC802" s="95" t="str">
        <f t="shared" si="1"/>
        <v/>
      </c>
    </row>
    <row r="803" ht="15.75" customHeight="1">
      <c r="N803" s="99"/>
      <c r="O803" s="99"/>
      <c r="P803" s="99"/>
      <c r="Q803" s="99"/>
      <c r="R803" s="99"/>
      <c r="S803" s="99"/>
      <c r="T803" s="99"/>
      <c r="U803" s="99"/>
      <c r="V803" s="99"/>
      <c r="W803" s="99"/>
      <c r="X803" s="99"/>
      <c r="Y803" s="99"/>
      <c r="Z803" s="99"/>
      <c r="AA803" s="99"/>
      <c r="AB803" s="99"/>
      <c r="AC803" s="95" t="str">
        <f t="shared" si="1"/>
        <v/>
      </c>
    </row>
    <row r="804" ht="15.75" customHeight="1">
      <c r="N804" s="99"/>
      <c r="O804" s="99"/>
      <c r="P804" s="99"/>
      <c r="Q804" s="99"/>
      <c r="R804" s="99"/>
      <c r="S804" s="99"/>
      <c r="T804" s="99"/>
      <c r="U804" s="99"/>
      <c r="V804" s="99"/>
      <c r="W804" s="99"/>
      <c r="X804" s="99"/>
      <c r="Y804" s="99"/>
      <c r="Z804" s="99"/>
      <c r="AA804" s="99"/>
      <c r="AB804" s="99"/>
      <c r="AC804" s="95" t="str">
        <f t="shared" si="1"/>
        <v/>
      </c>
    </row>
    <row r="805" ht="15.75" customHeight="1">
      <c r="N805" s="99"/>
      <c r="O805" s="99"/>
      <c r="P805" s="99"/>
      <c r="Q805" s="99"/>
      <c r="R805" s="99"/>
      <c r="S805" s="99"/>
      <c r="T805" s="99"/>
      <c r="U805" s="99"/>
      <c r="V805" s="99"/>
      <c r="W805" s="99"/>
      <c r="X805" s="99"/>
      <c r="Y805" s="99"/>
      <c r="Z805" s="99"/>
      <c r="AA805" s="99"/>
      <c r="AB805" s="99"/>
      <c r="AC805" s="95" t="str">
        <f t="shared" si="1"/>
        <v/>
      </c>
    </row>
    <row r="806" ht="15.75" customHeight="1">
      <c r="N806" s="99"/>
      <c r="O806" s="99"/>
      <c r="P806" s="99"/>
      <c r="Q806" s="99"/>
      <c r="R806" s="99"/>
      <c r="S806" s="99"/>
      <c r="T806" s="99"/>
      <c r="U806" s="99"/>
      <c r="V806" s="99"/>
      <c r="W806" s="99"/>
      <c r="X806" s="99"/>
      <c r="Y806" s="99"/>
      <c r="Z806" s="99"/>
      <c r="AA806" s="99"/>
      <c r="AB806" s="99"/>
      <c r="AC806" s="95" t="str">
        <f t="shared" si="1"/>
        <v/>
      </c>
    </row>
    <row r="807" ht="15.75" customHeight="1">
      <c r="N807" s="99"/>
      <c r="O807" s="99"/>
      <c r="P807" s="99"/>
      <c r="Q807" s="99"/>
      <c r="R807" s="99"/>
      <c r="S807" s="99"/>
      <c r="T807" s="99"/>
      <c r="U807" s="99"/>
      <c r="V807" s="99"/>
      <c r="W807" s="99"/>
      <c r="X807" s="99"/>
      <c r="Y807" s="99"/>
      <c r="Z807" s="99"/>
      <c r="AA807" s="99"/>
      <c r="AB807" s="99"/>
      <c r="AC807" s="95" t="str">
        <f t="shared" si="1"/>
        <v/>
      </c>
    </row>
    <row r="808" ht="15.75" customHeight="1">
      <c r="N808" s="99"/>
      <c r="O808" s="99"/>
      <c r="P808" s="99"/>
      <c r="Q808" s="99"/>
      <c r="R808" s="99"/>
      <c r="S808" s="99"/>
      <c r="T808" s="99"/>
      <c r="U808" s="99"/>
      <c r="V808" s="99"/>
      <c r="W808" s="99"/>
      <c r="X808" s="99"/>
      <c r="Y808" s="99"/>
      <c r="Z808" s="99"/>
      <c r="AA808" s="99"/>
      <c r="AB808" s="99"/>
      <c r="AC808" s="95" t="str">
        <f t="shared" si="1"/>
        <v/>
      </c>
    </row>
    <row r="809" ht="15.75" customHeight="1">
      <c r="N809" s="99"/>
      <c r="O809" s="99"/>
      <c r="P809" s="99"/>
      <c r="Q809" s="99"/>
      <c r="R809" s="99"/>
      <c r="S809" s="99"/>
      <c r="T809" s="99"/>
      <c r="U809" s="99"/>
      <c r="V809" s="99"/>
      <c r="W809" s="99"/>
      <c r="X809" s="99"/>
      <c r="Y809" s="99"/>
      <c r="Z809" s="99"/>
      <c r="AA809" s="99"/>
      <c r="AB809" s="99"/>
      <c r="AC809" s="95" t="str">
        <f t="shared" si="1"/>
        <v/>
      </c>
    </row>
    <row r="810" ht="15.75" customHeight="1">
      <c r="N810" s="99"/>
      <c r="O810" s="99"/>
      <c r="P810" s="99"/>
      <c r="Q810" s="99"/>
      <c r="R810" s="99"/>
      <c r="S810" s="99"/>
      <c r="T810" s="99"/>
      <c r="U810" s="99"/>
      <c r="V810" s="99"/>
      <c r="W810" s="99"/>
      <c r="X810" s="99"/>
      <c r="Y810" s="99"/>
      <c r="Z810" s="99"/>
      <c r="AA810" s="99"/>
      <c r="AB810" s="99"/>
      <c r="AC810" s="95" t="str">
        <f t="shared" si="1"/>
        <v/>
      </c>
    </row>
    <row r="811" ht="15.75" customHeight="1">
      <c r="N811" s="99"/>
      <c r="O811" s="99"/>
      <c r="P811" s="99"/>
      <c r="Q811" s="99"/>
      <c r="R811" s="99"/>
      <c r="S811" s="99"/>
      <c r="T811" s="99"/>
      <c r="U811" s="99"/>
      <c r="V811" s="99"/>
      <c r="W811" s="99"/>
      <c r="X811" s="99"/>
      <c r="Y811" s="99"/>
      <c r="Z811" s="99"/>
      <c r="AA811" s="99"/>
      <c r="AB811" s="99"/>
      <c r="AC811" s="95" t="str">
        <f t="shared" si="1"/>
        <v/>
      </c>
    </row>
    <row r="812" ht="15.75" customHeight="1">
      <c r="N812" s="99"/>
      <c r="O812" s="99"/>
      <c r="P812" s="99"/>
      <c r="Q812" s="99"/>
      <c r="R812" s="99"/>
      <c r="S812" s="99"/>
      <c r="T812" s="99"/>
      <c r="U812" s="99"/>
      <c r="V812" s="99"/>
      <c r="W812" s="99"/>
      <c r="X812" s="99"/>
      <c r="Y812" s="99"/>
      <c r="Z812" s="99"/>
      <c r="AA812" s="99"/>
      <c r="AB812" s="99"/>
      <c r="AC812" s="95" t="str">
        <f t="shared" si="1"/>
        <v/>
      </c>
    </row>
    <row r="813" ht="15.75" customHeight="1">
      <c r="N813" s="99"/>
      <c r="O813" s="99"/>
      <c r="P813" s="99"/>
      <c r="Q813" s="99"/>
      <c r="R813" s="99"/>
      <c r="S813" s="99"/>
      <c r="T813" s="99"/>
      <c r="U813" s="99"/>
      <c r="V813" s="99"/>
      <c r="W813" s="99"/>
      <c r="X813" s="99"/>
      <c r="Y813" s="99"/>
      <c r="Z813" s="99"/>
      <c r="AA813" s="99"/>
      <c r="AB813" s="99"/>
      <c r="AC813" s="95" t="str">
        <f t="shared" si="1"/>
        <v/>
      </c>
    </row>
    <row r="814" ht="15.75" customHeight="1">
      <c r="N814" s="99"/>
      <c r="O814" s="99"/>
      <c r="P814" s="99"/>
      <c r="Q814" s="99"/>
      <c r="R814" s="99"/>
      <c r="S814" s="99"/>
      <c r="T814" s="99"/>
      <c r="U814" s="99"/>
      <c r="V814" s="99"/>
      <c r="W814" s="99"/>
      <c r="X814" s="99"/>
      <c r="Y814" s="99"/>
      <c r="Z814" s="99"/>
      <c r="AA814" s="99"/>
      <c r="AB814" s="99"/>
      <c r="AC814" s="95" t="str">
        <f t="shared" si="1"/>
        <v/>
      </c>
    </row>
    <row r="815" ht="15.75" customHeight="1">
      <c r="N815" s="99"/>
      <c r="O815" s="99"/>
      <c r="P815" s="99"/>
      <c r="Q815" s="99"/>
      <c r="R815" s="99"/>
      <c r="S815" s="99"/>
      <c r="T815" s="99"/>
      <c r="U815" s="99"/>
      <c r="V815" s="99"/>
      <c r="W815" s="99"/>
      <c r="X815" s="99"/>
      <c r="Y815" s="99"/>
      <c r="Z815" s="99"/>
      <c r="AA815" s="99"/>
      <c r="AB815" s="99"/>
      <c r="AC815" s="95" t="str">
        <f t="shared" si="1"/>
        <v/>
      </c>
    </row>
    <row r="816" ht="15.75" customHeight="1">
      <c r="N816" s="99"/>
      <c r="O816" s="99"/>
      <c r="P816" s="99"/>
      <c r="Q816" s="99"/>
      <c r="R816" s="99"/>
      <c r="S816" s="99"/>
      <c r="T816" s="99"/>
      <c r="U816" s="99"/>
      <c r="V816" s="99"/>
      <c r="W816" s="99"/>
      <c r="X816" s="99"/>
      <c r="Y816" s="99"/>
      <c r="Z816" s="99"/>
      <c r="AA816" s="99"/>
      <c r="AB816" s="99"/>
      <c r="AC816" s="95" t="str">
        <f t="shared" si="1"/>
        <v/>
      </c>
    </row>
    <row r="817" ht="15.75" customHeight="1">
      <c r="N817" s="99"/>
      <c r="O817" s="99"/>
      <c r="P817" s="99"/>
      <c r="Q817" s="99"/>
      <c r="R817" s="99"/>
      <c r="S817" s="99"/>
      <c r="T817" s="99"/>
      <c r="U817" s="99"/>
      <c r="V817" s="99"/>
      <c r="W817" s="99"/>
      <c r="X817" s="99"/>
      <c r="Y817" s="99"/>
      <c r="Z817" s="99"/>
      <c r="AA817" s="99"/>
      <c r="AB817" s="99"/>
      <c r="AC817" s="95" t="str">
        <f t="shared" si="1"/>
        <v/>
      </c>
    </row>
    <row r="818" ht="15.75" customHeight="1">
      <c r="N818" s="99"/>
      <c r="O818" s="99"/>
      <c r="P818" s="99"/>
      <c r="Q818" s="99"/>
      <c r="R818" s="99"/>
      <c r="S818" s="99"/>
      <c r="T818" s="99"/>
      <c r="U818" s="99"/>
      <c r="V818" s="99"/>
      <c r="W818" s="99"/>
      <c r="X818" s="99"/>
      <c r="Y818" s="99"/>
      <c r="Z818" s="99"/>
      <c r="AA818" s="99"/>
      <c r="AB818" s="99"/>
      <c r="AC818" s="95" t="str">
        <f t="shared" si="1"/>
        <v/>
      </c>
    </row>
    <row r="819" ht="15.75" customHeight="1">
      <c r="N819" s="99"/>
      <c r="O819" s="99"/>
      <c r="P819" s="99"/>
      <c r="Q819" s="99"/>
      <c r="R819" s="99"/>
      <c r="S819" s="99"/>
      <c r="T819" s="99"/>
      <c r="U819" s="99"/>
      <c r="V819" s="99"/>
      <c r="W819" s="99"/>
      <c r="X819" s="99"/>
      <c r="Y819" s="99"/>
      <c r="Z819" s="99"/>
      <c r="AA819" s="99"/>
      <c r="AB819" s="99"/>
      <c r="AC819" s="95" t="str">
        <f t="shared" si="1"/>
        <v/>
      </c>
    </row>
    <row r="820" ht="15.75" customHeight="1">
      <c r="N820" s="99"/>
      <c r="O820" s="99"/>
      <c r="P820" s="99"/>
      <c r="Q820" s="99"/>
      <c r="R820" s="99"/>
      <c r="S820" s="99"/>
      <c r="T820" s="99"/>
      <c r="U820" s="99"/>
      <c r="V820" s="99"/>
      <c r="W820" s="99"/>
      <c r="X820" s="99"/>
      <c r="Y820" s="99"/>
      <c r="Z820" s="99"/>
      <c r="AA820" s="99"/>
      <c r="AB820" s="99"/>
      <c r="AC820" s="95" t="str">
        <f t="shared" si="1"/>
        <v/>
      </c>
    </row>
    <row r="821" ht="15.75" customHeight="1">
      <c r="N821" s="99"/>
      <c r="O821" s="99"/>
      <c r="P821" s="99"/>
      <c r="Q821" s="99"/>
      <c r="R821" s="99"/>
      <c r="S821" s="99"/>
      <c r="T821" s="99"/>
      <c r="U821" s="99"/>
      <c r="V821" s="99"/>
      <c r="W821" s="99"/>
      <c r="X821" s="99"/>
      <c r="Y821" s="99"/>
      <c r="Z821" s="99"/>
      <c r="AA821" s="99"/>
      <c r="AB821" s="99"/>
      <c r="AC821" s="95" t="str">
        <f t="shared" si="1"/>
        <v/>
      </c>
    </row>
    <row r="822" ht="15.75" customHeight="1">
      <c r="N822" s="99"/>
      <c r="O822" s="99"/>
      <c r="P822" s="99"/>
      <c r="Q822" s="99"/>
      <c r="R822" s="99"/>
      <c r="S822" s="99"/>
      <c r="T822" s="99"/>
      <c r="U822" s="99"/>
      <c r="V822" s="99"/>
      <c r="W822" s="99"/>
      <c r="X822" s="99"/>
      <c r="Y822" s="99"/>
      <c r="Z822" s="99"/>
      <c r="AA822" s="99"/>
      <c r="AB822" s="99"/>
      <c r="AC822" s="95" t="str">
        <f t="shared" si="1"/>
        <v/>
      </c>
    </row>
    <row r="823" ht="15.75" customHeight="1">
      <c r="N823" s="99"/>
      <c r="O823" s="99"/>
      <c r="P823" s="99"/>
      <c r="Q823" s="99"/>
      <c r="R823" s="99"/>
      <c r="S823" s="99"/>
      <c r="T823" s="99"/>
      <c r="U823" s="99"/>
      <c r="V823" s="99"/>
      <c r="W823" s="99"/>
      <c r="X823" s="99"/>
      <c r="Y823" s="99"/>
      <c r="Z823" s="99"/>
      <c r="AA823" s="99"/>
      <c r="AB823" s="99"/>
      <c r="AC823" s="95" t="str">
        <f t="shared" si="1"/>
        <v/>
      </c>
    </row>
    <row r="824" ht="15.75" customHeight="1">
      <c r="N824" s="99"/>
      <c r="O824" s="99"/>
      <c r="P824" s="99"/>
      <c r="Q824" s="99"/>
      <c r="R824" s="99"/>
      <c r="S824" s="99"/>
      <c r="T824" s="99"/>
      <c r="U824" s="99"/>
      <c r="V824" s="99"/>
      <c r="W824" s="99"/>
      <c r="X824" s="99"/>
      <c r="Y824" s="99"/>
      <c r="Z824" s="99"/>
      <c r="AA824" s="99"/>
      <c r="AB824" s="99"/>
      <c r="AC824" s="95" t="str">
        <f t="shared" si="1"/>
        <v/>
      </c>
    </row>
    <row r="825" ht="15.75" customHeight="1">
      <c r="N825" s="99"/>
      <c r="O825" s="99"/>
      <c r="P825" s="99"/>
      <c r="Q825" s="99"/>
      <c r="R825" s="99"/>
      <c r="S825" s="99"/>
      <c r="T825" s="99"/>
      <c r="U825" s="99"/>
      <c r="V825" s="99"/>
      <c r="W825" s="99"/>
      <c r="X825" s="99"/>
      <c r="Y825" s="99"/>
      <c r="Z825" s="99"/>
      <c r="AA825" s="99"/>
      <c r="AB825" s="99"/>
      <c r="AC825" s="95" t="str">
        <f t="shared" si="1"/>
        <v/>
      </c>
    </row>
    <row r="826" ht="15.75" customHeight="1">
      <c r="N826" s="99"/>
      <c r="O826" s="99"/>
      <c r="P826" s="99"/>
      <c r="Q826" s="99"/>
      <c r="R826" s="99"/>
      <c r="S826" s="99"/>
      <c r="T826" s="99"/>
      <c r="U826" s="99"/>
      <c r="V826" s="99"/>
      <c r="W826" s="99"/>
      <c r="X826" s="99"/>
      <c r="Y826" s="99"/>
      <c r="Z826" s="99"/>
      <c r="AA826" s="99"/>
      <c r="AB826" s="99"/>
      <c r="AC826" s="95" t="str">
        <f t="shared" si="1"/>
        <v/>
      </c>
    </row>
    <row r="827" ht="15.75" customHeight="1">
      <c r="N827" s="99"/>
      <c r="O827" s="99"/>
      <c r="P827" s="99"/>
      <c r="Q827" s="99"/>
      <c r="R827" s="99"/>
      <c r="S827" s="99"/>
      <c r="T827" s="99"/>
      <c r="U827" s="99"/>
      <c r="V827" s="99"/>
      <c r="W827" s="99"/>
      <c r="X827" s="99"/>
      <c r="Y827" s="99"/>
      <c r="Z827" s="99"/>
      <c r="AA827" s="99"/>
      <c r="AB827" s="99"/>
      <c r="AC827" s="95" t="str">
        <f t="shared" si="1"/>
        <v/>
      </c>
    </row>
    <row r="828" ht="15.75" customHeight="1">
      <c r="N828" s="99"/>
      <c r="O828" s="99"/>
      <c r="P828" s="99"/>
      <c r="Q828" s="99"/>
      <c r="R828" s="99"/>
      <c r="S828" s="99"/>
      <c r="T828" s="99"/>
      <c r="U828" s="99"/>
      <c r="V828" s="99"/>
      <c r="W828" s="99"/>
      <c r="X828" s="99"/>
      <c r="Y828" s="99"/>
      <c r="Z828" s="99"/>
      <c r="AA828" s="99"/>
      <c r="AB828" s="99"/>
      <c r="AC828" s="95" t="str">
        <f t="shared" si="1"/>
        <v/>
      </c>
    </row>
    <row r="829" ht="15.75" customHeight="1">
      <c r="N829" s="99"/>
      <c r="O829" s="99"/>
      <c r="P829" s="99"/>
      <c r="Q829" s="99"/>
      <c r="R829" s="99"/>
      <c r="S829" s="99"/>
      <c r="T829" s="99"/>
      <c r="U829" s="99"/>
      <c r="V829" s="99"/>
      <c r="W829" s="99"/>
      <c r="X829" s="99"/>
      <c r="Y829" s="99"/>
      <c r="Z829" s="99"/>
      <c r="AA829" s="99"/>
      <c r="AB829" s="99"/>
      <c r="AC829" s="95" t="str">
        <f t="shared" si="1"/>
        <v/>
      </c>
    </row>
    <row r="830" ht="15.75" customHeight="1">
      <c r="N830" s="99"/>
      <c r="O830" s="99"/>
      <c r="P830" s="99"/>
      <c r="Q830" s="99"/>
      <c r="R830" s="99"/>
      <c r="S830" s="99"/>
      <c r="T830" s="99"/>
      <c r="U830" s="99"/>
      <c r="V830" s="99"/>
      <c r="W830" s="99"/>
      <c r="X830" s="99"/>
      <c r="Y830" s="99"/>
      <c r="Z830" s="99"/>
      <c r="AA830" s="99"/>
      <c r="AB830" s="99"/>
      <c r="AC830" s="95" t="str">
        <f t="shared" si="1"/>
        <v/>
      </c>
    </row>
    <row r="831" ht="15.75" customHeight="1">
      <c r="N831" s="99"/>
      <c r="O831" s="99"/>
      <c r="P831" s="99"/>
      <c r="Q831" s="99"/>
      <c r="R831" s="99"/>
      <c r="S831" s="99"/>
      <c r="T831" s="99"/>
      <c r="U831" s="99"/>
      <c r="V831" s="99"/>
      <c r="W831" s="99"/>
      <c r="X831" s="99"/>
      <c r="Y831" s="99"/>
      <c r="Z831" s="99"/>
      <c r="AA831" s="99"/>
      <c r="AB831" s="99"/>
      <c r="AC831" s="95" t="str">
        <f t="shared" si="1"/>
        <v/>
      </c>
    </row>
    <row r="832" ht="15.75" customHeight="1">
      <c r="N832" s="99"/>
      <c r="O832" s="99"/>
      <c r="P832" s="99"/>
      <c r="Q832" s="99"/>
      <c r="R832" s="99"/>
      <c r="S832" s="99"/>
      <c r="T832" s="99"/>
      <c r="U832" s="99"/>
      <c r="V832" s="99"/>
      <c r="W832" s="99"/>
      <c r="X832" s="99"/>
      <c r="Y832" s="99"/>
      <c r="Z832" s="99"/>
      <c r="AA832" s="99"/>
      <c r="AB832" s="99"/>
      <c r="AC832" s="95" t="str">
        <f t="shared" si="1"/>
        <v/>
      </c>
    </row>
    <row r="833" ht="15.75" customHeight="1">
      <c r="N833" s="99"/>
      <c r="O833" s="99"/>
      <c r="P833" s="99"/>
      <c r="Q833" s="99"/>
      <c r="R833" s="99"/>
      <c r="S833" s="99"/>
      <c r="T833" s="99"/>
      <c r="U833" s="99"/>
      <c r="V833" s="99"/>
      <c r="W833" s="99"/>
      <c r="X833" s="99"/>
      <c r="Y833" s="99"/>
      <c r="Z833" s="99"/>
      <c r="AA833" s="99"/>
      <c r="AB833" s="99"/>
      <c r="AC833" s="95" t="str">
        <f t="shared" si="1"/>
        <v/>
      </c>
    </row>
    <row r="834" ht="15.75" customHeight="1">
      <c r="N834" s="99"/>
      <c r="O834" s="99"/>
      <c r="P834" s="99"/>
      <c r="Q834" s="99"/>
      <c r="R834" s="99"/>
      <c r="S834" s="99"/>
      <c r="T834" s="99"/>
      <c r="U834" s="99"/>
      <c r="V834" s="99"/>
      <c r="W834" s="99"/>
      <c r="X834" s="99"/>
      <c r="Y834" s="99"/>
      <c r="Z834" s="99"/>
      <c r="AA834" s="99"/>
      <c r="AB834" s="99"/>
      <c r="AC834" s="95" t="str">
        <f t="shared" si="1"/>
        <v/>
      </c>
    </row>
    <row r="835" ht="15.75" customHeight="1">
      <c r="N835" s="99"/>
      <c r="O835" s="99"/>
      <c r="P835" s="99"/>
      <c r="Q835" s="99"/>
      <c r="R835" s="99"/>
      <c r="S835" s="99"/>
      <c r="T835" s="99"/>
      <c r="U835" s="99"/>
      <c r="V835" s="99"/>
      <c r="W835" s="99"/>
      <c r="X835" s="99"/>
      <c r="Y835" s="99"/>
      <c r="Z835" s="99"/>
      <c r="AA835" s="99"/>
      <c r="AB835" s="99"/>
      <c r="AC835" s="95" t="str">
        <f t="shared" si="1"/>
        <v/>
      </c>
    </row>
    <row r="836" ht="15.75" customHeight="1">
      <c r="N836" s="99"/>
      <c r="O836" s="99"/>
      <c r="P836" s="99"/>
      <c r="Q836" s="99"/>
      <c r="R836" s="99"/>
      <c r="S836" s="99"/>
      <c r="T836" s="99"/>
      <c r="U836" s="99"/>
      <c r="V836" s="99"/>
      <c r="W836" s="99"/>
      <c r="X836" s="99"/>
      <c r="Y836" s="99"/>
      <c r="Z836" s="99"/>
      <c r="AA836" s="99"/>
      <c r="AB836" s="99"/>
      <c r="AC836" s="95" t="str">
        <f t="shared" si="1"/>
        <v/>
      </c>
    </row>
    <row r="837" ht="15.75" customHeight="1">
      <c r="N837" s="99"/>
      <c r="O837" s="99"/>
      <c r="P837" s="99"/>
      <c r="Q837" s="99"/>
      <c r="R837" s="99"/>
      <c r="S837" s="99"/>
      <c r="T837" s="99"/>
      <c r="U837" s="99"/>
      <c r="V837" s="99"/>
      <c r="W837" s="99"/>
      <c r="X837" s="99"/>
      <c r="Y837" s="99"/>
      <c r="Z837" s="99"/>
      <c r="AA837" s="99"/>
      <c r="AB837" s="99"/>
      <c r="AC837" s="95" t="str">
        <f t="shared" si="1"/>
        <v/>
      </c>
    </row>
    <row r="838" ht="15.75" customHeight="1">
      <c r="N838" s="99"/>
      <c r="O838" s="99"/>
      <c r="P838" s="99"/>
      <c r="Q838" s="99"/>
      <c r="R838" s="99"/>
      <c r="S838" s="99"/>
      <c r="T838" s="99"/>
      <c r="U838" s="99"/>
      <c r="V838" s="99"/>
      <c r="W838" s="99"/>
      <c r="X838" s="99"/>
      <c r="Y838" s="99"/>
      <c r="Z838" s="99"/>
      <c r="AA838" s="99"/>
      <c r="AB838" s="99"/>
      <c r="AC838" s="95" t="str">
        <f t="shared" si="1"/>
        <v/>
      </c>
    </row>
    <row r="839" ht="15.75" customHeight="1">
      <c r="N839" s="99"/>
      <c r="O839" s="99"/>
      <c r="P839" s="99"/>
      <c r="Q839" s="99"/>
      <c r="R839" s="99"/>
      <c r="S839" s="99"/>
      <c r="T839" s="99"/>
      <c r="U839" s="99"/>
      <c r="V839" s="99"/>
      <c r="W839" s="99"/>
      <c r="X839" s="99"/>
      <c r="Y839" s="99"/>
      <c r="Z839" s="99"/>
      <c r="AA839" s="99"/>
      <c r="AB839" s="99"/>
      <c r="AC839" s="95" t="str">
        <f t="shared" si="1"/>
        <v/>
      </c>
    </row>
    <row r="840" ht="15.75" customHeight="1">
      <c r="N840" s="99"/>
      <c r="O840" s="99"/>
      <c r="P840" s="99"/>
      <c r="Q840" s="99"/>
      <c r="R840" s="99"/>
      <c r="S840" s="99"/>
      <c r="T840" s="99"/>
      <c r="U840" s="99"/>
      <c r="V840" s="99"/>
      <c r="W840" s="99"/>
      <c r="X840" s="99"/>
      <c r="Y840" s="99"/>
      <c r="Z840" s="99"/>
      <c r="AA840" s="99"/>
      <c r="AB840" s="99"/>
      <c r="AC840" s="95" t="str">
        <f t="shared" si="1"/>
        <v/>
      </c>
    </row>
    <row r="841" ht="15.75" customHeight="1">
      <c r="N841" s="99"/>
      <c r="O841" s="99"/>
      <c r="P841" s="99"/>
      <c r="Q841" s="99"/>
      <c r="R841" s="99"/>
      <c r="S841" s="99"/>
      <c r="T841" s="99"/>
      <c r="U841" s="99"/>
      <c r="V841" s="99"/>
      <c r="W841" s="99"/>
      <c r="X841" s="99"/>
      <c r="Y841" s="99"/>
      <c r="Z841" s="99"/>
      <c r="AA841" s="99"/>
      <c r="AB841" s="99"/>
      <c r="AC841" s="95" t="str">
        <f t="shared" si="1"/>
        <v/>
      </c>
    </row>
    <row r="842" ht="15.75" customHeight="1">
      <c r="N842" s="99"/>
      <c r="O842" s="99"/>
      <c r="P842" s="99"/>
      <c r="Q842" s="99"/>
      <c r="R842" s="99"/>
      <c r="S842" s="99"/>
      <c r="T842" s="99"/>
      <c r="U842" s="99"/>
      <c r="V842" s="99"/>
      <c r="W842" s="99"/>
      <c r="X842" s="99"/>
      <c r="Y842" s="99"/>
      <c r="Z842" s="99"/>
      <c r="AA842" s="99"/>
      <c r="AB842" s="99"/>
      <c r="AC842" s="95" t="str">
        <f t="shared" si="1"/>
        <v/>
      </c>
    </row>
    <row r="843" ht="15.75" customHeight="1">
      <c r="N843" s="99"/>
      <c r="O843" s="99"/>
      <c r="P843" s="99"/>
      <c r="Q843" s="99"/>
      <c r="R843" s="99"/>
      <c r="S843" s="99"/>
      <c r="T843" s="99"/>
      <c r="U843" s="99"/>
      <c r="V843" s="99"/>
      <c r="W843" s="99"/>
      <c r="X843" s="99"/>
      <c r="Y843" s="99"/>
      <c r="Z843" s="99"/>
      <c r="AA843" s="99"/>
      <c r="AB843" s="99"/>
      <c r="AC843" s="95" t="str">
        <f t="shared" si="1"/>
        <v/>
      </c>
    </row>
    <row r="844" ht="15.75" customHeight="1">
      <c r="N844" s="99"/>
      <c r="O844" s="99"/>
      <c r="P844" s="99"/>
      <c r="Q844" s="99"/>
      <c r="R844" s="99"/>
      <c r="S844" s="99"/>
      <c r="T844" s="99"/>
      <c r="U844" s="99"/>
      <c r="V844" s="99"/>
      <c r="W844" s="99"/>
      <c r="X844" s="99"/>
      <c r="Y844" s="99"/>
      <c r="Z844" s="99"/>
      <c r="AA844" s="99"/>
      <c r="AB844" s="99"/>
      <c r="AC844" s="95" t="str">
        <f t="shared" si="1"/>
        <v/>
      </c>
    </row>
    <row r="845" ht="15.75" customHeight="1">
      <c r="N845" s="99"/>
      <c r="O845" s="99"/>
      <c r="P845" s="99"/>
      <c r="Q845" s="99"/>
      <c r="R845" s="99"/>
      <c r="S845" s="99"/>
      <c r="T845" s="99"/>
      <c r="U845" s="99"/>
      <c r="V845" s="99"/>
      <c r="W845" s="99"/>
      <c r="X845" s="99"/>
      <c r="Y845" s="99"/>
      <c r="Z845" s="99"/>
      <c r="AA845" s="99"/>
      <c r="AB845" s="99"/>
      <c r="AC845" s="95" t="str">
        <f t="shared" si="1"/>
        <v/>
      </c>
    </row>
    <row r="846" ht="15.75" customHeight="1">
      <c r="N846" s="99"/>
      <c r="O846" s="99"/>
      <c r="P846" s="99"/>
      <c r="Q846" s="99"/>
      <c r="R846" s="99"/>
      <c r="S846" s="99"/>
      <c r="T846" s="99"/>
      <c r="U846" s="99"/>
      <c r="V846" s="99"/>
      <c r="W846" s="99"/>
      <c r="X846" s="99"/>
      <c r="Y846" s="99"/>
      <c r="Z846" s="99"/>
      <c r="AA846" s="99"/>
      <c r="AB846" s="99"/>
      <c r="AC846" s="95" t="str">
        <f t="shared" si="1"/>
        <v/>
      </c>
    </row>
    <row r="847" ht="15.75" customHeight="1">
      <c r="N847" s="99"/>
      <c r="O847" s="99"/>
      <c r="P847" s="99"/>
      <c r="Q847" s="99"/>
      <c r="R847" s="99"/>
      <c r="S847" s="99"/>
      <c r="T847" s="99"/>
      <c r="U847" s="99"/>
      <c r="V847" s="99"/>
      <c r="W847" s="99"/>
      <c r="X847" s="99"/>
      <c r="Y847" s="99"/>
      <c r="Z847" s="99"/>
      <c r="AA847" s="99"/>
      <c r="AB847" s="99"/>
      <c r="AC847" s="95" t="str">
        <f t="shared" si="1"/>
        <v/>
      </c>
    </row>
    <row r="848" ht="15.75" customHeight="1">
      <c r="N848" s="99"/>
      <c r="O848" s="99"/>
      <c r="P848" s="99"/>
      <c r="Q848" s="99"/>
      <c r="R848" s="99"/>
      <c r="S848" s="99"/>
      <c r="T848" s="99"/>
      <c r="U848" s="99"/>
      <c r="V848" s="99"/>
      <c r="W848" s="99"/>
      <c r="X848" s="99"/>
      <c r="Y848" s="99"/>
      <c r="Z848" s="99"/>
      <c r="AA848" s="99"/>
      <c r="AB848" s="99"/>
      <c r="AC848" s="95" t="str">
        <f t="shared" si="1"/>
        <v/>
      </c>
    </row>
    <row r="849" ht="15.75" customHeight="1">
      <c r="N849" s="99"/>
      <c r="O849" s="99"/>
      <c r="P849" s="99"/>
      <c r="Q849" s="99"/>
      <c r="R849" s="99"/>
      <c r="S849" s="99"/>
      <c r="T849" s="99"/>
      <c r="U849" s="99"/>
      <c r="V849" s="99"/>
      <c r="W849" s="99"/>
      <c r="X849" s="99"/>
      <c r="Y849" s="99"/>
      <c r="Z849" s="99"/>
      <c r="AA849" s="99"/>
      <c r="AB849" s="99"/>
      <c r="AC849" s="95" t="str">
        <f t="shared" si="1"/>
        <v/>
      </c>
    </row>
    <row r="850" ht="15.75" customHeight="1">
      <c r="N850" s="99"/>
      <c r="O850" s="99"/>
      <c r="P850" s="99"/>
      <c r="Q850" s="99"/>
      <c r="R850" s="99"/>
      <c r="S850" s="99"/>
      <c r="T850" s="99"/>
      <c r="U850" s="99"/>
      <c r="V850" s="99"/>
      <c r="W850" s="99"/>
      <c r="X850" s="99"/>
      <c r="Y850" s="99"/>
      <c r="Z850" s="99"/>
      <c r="AA850" s="99"/>
      <c r="AB850" s="99"/>
      <c r="AC850" s="95" t="str">
        <f t="shared" si="1"/>
        <v/>
      </c>
    </row>
    <row r="851" ht="15.75" customHeight="1">
      <c r="N851" s="99"/>
      <c r="O851" s="99"/>
      <c r="P851" s="99"/>
      <c r="Q851" s="99"/>
      <c r="R851" s="99"/>
      <c r="S851" s="99"/>
      <c r="T851" s="99"/>
      <c r="U851" s="99"/>
      <c r="V851" s="99"/>
      <c r="W851" s="99"/>
      <c r="X851" s="99"/>
      <c r="Y851" s="99"/>
      <c r="Z851" s="99"/>
      <c r="AA851" s="99"/>
      <c r="AB851" s="99"/>
      <c r="AC851" s="95" t="str">
        <f t="shared" si="1"/>
        <v/>
      </c>
    </row>
    <row r="852" ht="15.75" customHeight="1">
      <c r="N852" s="99"/>
      <c r="O852" s="99"/>
      <c r="P852" s="99"/>
      <c r="Q852" s="99"/>
      <c r="R852" s="99"/>
      <c r="S852" s="99"/>
      <c r="T852" s="99"/>
      <c r="U852" s="99"/>
      <c r="V852" s="99"/>
      <c r="W852" s="99"/>
      <c r="X852" s="99"/>
      <c r="Y852" s="99"/>
      <c r="Z852" s="99"/>
      <c r="AA852" s="99"/>
      <c r="AB852" s="99"/>
      <c r="AC852" s="95" t="str">
        <f t="shared" si="1"/>
        <v/>
      </c>
    </row>
    <row r="853" ht="15.75" customHeight="1">
      <c r="N853" s="99"/>
      <c r="O853" s="99"/>
      <c r="P853" s="99"/>
      <c r="Q853" s="99"/>
      <c r="R853" s="99"/>
      <c r="S853" s="99"/>
      <c r="T853" s="99"/>
      <c r="U853" s="99"/>
      <c r="V853" s="99"/>
      <c r="W853" s="99"/>
      <c r="X853" s="99"/>
      <c r="Y853" s="99"/>
      <c r="Z853" s="99"/>
      <c r="AA853" s="99"/>
      <c r="AB853" s="99"/>
      <c r="AC853" s="95" t="str">
        <f t="shared" si="1"/>
        <v/>
      </c>
    </row>
    <row r="854" ht="15.75" customHeight="1">
      <c r="N854" s="99"/>
      <c r="O854" s="99"/>
      <c r="P854" s="99"/>
      <c r="Q854" s="99"/>
      <c r="R854" s="99"/>
      <c r="S854" s="99"/>
      <c r="T854" s="99"/>
      <c r="U854" s="99"/>
      <c r="V854" s="99"/>
      <c r="W854" s="99"/>
      <c r="X854" s="99"/>
      <c r="Y854" s="99"/>
      <c r="Z854" s="99"/>
      <c r="AA854" s="99"/>
      <c r="AB854" s="99"/>
      <c r="AC854" s="95" t="str">
        <f t="shared" si="1"/>
        <v/>
      </c>
    </row>
    <row r="855" ht="15.75" customHeight="1">
      <c r="N855" s="99"/>
      <c r="O855" s="99"/>
      <c r="P855" s="99"/>
      <c r="Q855" s="99"/>
      <c r="R855" s="99"/>
      <c r="S855" s="99"/>
      <c r="T855" s="99"/>
      <c r="U855" s="99"/>
      <c r="V855" s="99"/>
      <c r="W855" s="99"/>
      <c r="X855" s="99"/>
      <c r="Y855" s="99"/>
      <c r="Z855" s="99"/>
      <c r="AA855" s="99"/>
      <c r="AB855" s="99"/>
      <c r="AC855" s="95" t="str">
        <f t="shared" si="1"/>
        <v/>
      </c>
    </row>
    <row r="856" ht="15.75" customHeight="1">
      <c r="N856" s="99"/>
      <c r="O856" s="99"/>
      <c r="P856" s="99"/>
      <c r="Q856" s="99"/>
      <c r="R856" s="99"/>
      <c r="S856" s="99"/>
      <c r="T856" s="99"/>
      <c r="U856" s="99"/>
      <c r="V856" s="99"/>
      <c r="W856" s="99"/>
      <c r="X856" s="99"/>
      <c r="Y856" s="99"/>
      <c r="Z856" s="99"/>
      <c r="AA856" s="99"/>
      <c r="AB856" s="99"/>
      <c r="AC856" s="95" t="str">
        <f t="shared" si="1"/>
        <v/>
      </c>
    </row>
    <row r="857" ht="15.75" customHeight="1">
      <c r="N857" s="99"/>
      <c r="O857" s="99"/>
      <c r="P857" s="99"/>
      <c r="Q857" s="99"/>
      <c r="R857" s="99"/>
      <c r="S857" s="99"/>
      <c r="T857" s="99"/>
      <c r="U857" s="99"/>
      <c r="V857" s="99"/>
      <c r="W857" s="99"/>
      <c r="X857" s="99"/>
      <c r="Y857" s="99"/>
      <c r="Z857" s="99"/>
      <c r="AA857" s="99"/>
      <c r="AB857" s="99"/>
      <c r="AC857" s="95" t="str">
        <f t="shared" si="1"/>
        <v/>
      </c>
    </row>
    <row r="858" ht="15.75" customHeight="1">
      <c r="N858" s="99"/>
      <c r="O858" s="99"/>
      <c r="P858" s="99"/>
      <c r="Q858" s="99"/>
      <c r="R858" s="99"/>
      <c r="S858" s="99"/>
      <c r="T858" s="99"/>
      <c r="U858" s="99"/>
      <c r="V858" s="99"/>
      <c r="W858" s="99"/>
      <c r="X858" s="99"/>
      <c r="Y858" s="99"/>
      <c r="Z858" s="99"/>
      <c r="AA858" s="99"/>
      <c r="AB858" s="99"/>
      <c r="AC858" s="95" t="str">
        <f t="shared" si="1"/>
        <v/>
      </c>
    </row>
    <row r="859" ht="15.75" customHeight="1">
      <c r="N859" s="99"/>
      <c r="O859" s="99"/>
      <c r="P859" s="99"/>
      <c r="Q859" s="99"/>
      <c r="R859" s="99"/>
      <c r="S859" s="99"/>
      <c r="T859" s="99"/>
      <c r="U859" s="99"/>
      <c r="V859" s="99"/>
      <c r="W859" s="99"/>
      <c r="X859" s="99"/>
      <c r="Y859" s="99"/>
      <c r="Z859" s="99"/>
      <c r="AA859" s="99"/>
      <c r="AB859" s="99"/>
      <c r="AC859" s="95" t="str">
        <f t="shared" si="1"/>
        <v/>
      </c>
    </row>
    <row r="860" ht="15.75" customHeight="1">
      <c r="N860" s="99"/>
      <c r="O860" s="99"/>
      <c r="P860" s="99"/>
      <c r="Q860" s="99"/>
      <c r="R860" s="99"/>
      <c r="S860" s="99"/>
      <c r="T860" s="99"/>
      <c r="U860" s="99"/>
      <c r="V860" s="99"/>
      <c r="W860" s="99"/>
      <c r="X860" s="99"/>
      <c r="Y860" s="99"/>
      <c r="Z860" s="99"/>
      <c r="AA860" s="99"/>
      <c r="AB860" s="99"/>
      <c r="AC860" s="95" t="str">
        <f t="shared" si="1"/>
        <v/>
      </c>
    </row>
    <row r="861" ht="15.75" customHeight="1">
      <c r="N861" s="99"/>
      <c r="O861" s="99"/>
      <c r="P861" s="99"/>
      <c r="Q861" s="99"/>
      <c r="R861" s="99"/>
      <c r="S861" s="99"/>
      <c r="T861" s="99"/>
      <c r="U861" s="99"/>
      <c r="V861" s="99"/>
      <c r="W861" s="99"/>
      <c r="X861" s="99"/>
      <c r="Y861" s="99"/>
      <c r="Z861" s="99"/>
      <c r="AA861" s="99"/>
      <c r="AB861" s="99"/>
      <c r="AC861" s="95" t="str">
        <f t="shared" si="1"/>
        <v/>
      </c>
    </row>
    <row r="862" ht="15.75" customHeight="1">
      <c r="N862" s="99"/>
      <c r="O862" s="99"/>
      <c r="P862" s="99"/>
      <c r="Q862" s="99"/>
      <c r="R862" s="99"/>
      <c r="S862" s="99"/>
      <c r="T862" s="99"/>
      <c r="U862" s="99"/>
      <c r="V862" s="99"/>
      <c r="W862" s="99"/>
      <c r="X862" s="99"/>
      <c r="Y862" s="99"/>
      <c r="Z862" s="99"/>
      <c r="AA862" s="99"/>
      <c r="AB862" s="99"/>
      <c r="AC862" s="95" t="str">
        <f t="shared" si="1"/>
        <v/>
      </c>
    </row>
    <row r="863" ht="15.75" customHeight="1">
      <c r="N863" s="99"/>
      <c r="O863" s="99"/>
      <c r="P863" s="99"/>
      <c r="Q863" s="99"/>
      <c r="R863" s="99"/>
      <c r="S863" s="99"/>
      <c r="T863" s="99"/>
      <c r="U863" s="99"/>
      <c r="V863" s="99"/>
      <c r="W863" s="99"/>
      <c r="X863" s="99"/>
      <c r="Y863" s="99"/>
      <c r="Z863" s="99"/>
      <c r="AA863" s="99"/>
      <c r="AB863" s="99"/>
      <c r="AC863" s="95" t="str">
        <f t="shared" si="1"/>
        <v/>
      </c>
    </row>
    <row r="864" ht="15.75" customHeight="1">
      <c r="N864" s="99"/>
      <c r="O864" s="99"/>
      <c r="P864" s="99"/>
      <c r="Q864" s="99"/>
      <c r="R864" s="99"/>
      <c r="S864" s="99"/>
      <c r="T864" s="99"/>
      <c r="U864" s="99"/>
      <c r="V864" s="99"/>
      <c r="W864" s="99"/>
      <c r="X864" s="99"/>
      <c r="Y864" s="99"/>
      <c r="Z864" s="99"/>
      <c r="AA864" s="99"/>
      <c r="AB864" s="99"/>
      <c r="AC864" s="95" t="str">
        <f t="shared" si="1"/>
        <v/>
      </c>
    </row>
    <row r="865" ht="15.75" customHeight="1">
      <c r="N865" s="99"/>
      <c r="O865" s="99"/>
      <c r="P865" s="99"/>
      <c r="Q865" s="99"/>
      <c r="R865" s="99"/>
      <c r="S865" s="99"/>
      <c r="T865" s="99"/>
      <c r="U865" s="99"/>
      <c r="V865" s="99"/>
      <c r="W865" s="99"/>
      <c r="X865" s="99"/>
      <c r="Y865" s="99"/>
      <c r="Z865" s="99"/>
      <c r="AA865" s="99"/>
      <c r="AB865" s="99"/>
      <c r="AC865" s="95" t="str">
        <f t="shared" si="1"/>
        <v/>
      </c>
    </row>
    <row r="866" ht="15.75" customHeight="1">
      <c r="N866" s="99"/>
      <c r="O866" s="99"/>
      <c r="P866" s="99"/>
      <c r="Q866" s="99"/>
      <c r="R866" s="99"/>
      <c r="S866" s="99"/>
      <c r="T866" s="99"/>
      <c r="U866" s="99"/>
      <c r="V866" s="99"/>
      <c r="W866" s="99"/>
      <c r="X866" s="99"/>
      <c r="Y866" s="99"/>
      <c r="Z866" s="99"/>
      <c r="AA866" s="99"/>
      <c r="AB866" s="99"/>
      <c r="AC866" s="95" t="str">
        <f t="shared" si="1"/>
        <v/>
      </c>
    </row>
    <row r="867" ht="15.75" customHeight="1">
      <c r="N867" s="99"/>
      <c r="O867" s="99"/>
      <c r="P867" s="99"/>
      <c r="Q867" s="99"/>
      <c r="R867" s="99"/>
      <c r="S867" s="99"/>
      <c r="T867" s="99"/>
      <c r="U867" s="99"/>
      <c r="V867" s="99"/>
      <c r="W867" s="99"/>
      <c r="X867" s="99"/>
      <c r="Y867" s="99"/>
      <c r="Z867" s="99"/>
      <c r="AA867" s="99"/>
      <c r="AB867" s="99"/>
      <c r="AC867" s="95" t="str">
        <f t="shared" si="1"/>
        <v/>
      </c>
    </row>
    <row r="868" ht="15.75" customHeight="1">
      <c r="N868" s="99"/>
      <c r="O868" s="99"/>
      <c r="P868" s="99"/>
      <c r="Q868" s="99"/>
      <c r="R868" s="99"/>
      <c r="S868" s="99"/>
      <c r="T868" s="99"/>
      <c r="U868" s="99"/>
      <c r="V868" s="99"/>
      <c r="W868" s="99"/>
      <c r="X868" s="99"/>
      <c r="Y868" s="99"/>
      <c r="Z868" s="99"/>
      <c r="AA868" s="99"/>
      <c r="AB868" s="99"/>
      <c r="AC868" s="95" t="str">
        <f t="shared" si="1"/>
        <v/>
      </c>
    </row>
    <row r="869" ht="15.75" customHeight="1">
      <c r="N869" s="99"/>
      <c r="O869" s="99"/>
      <c r="P869" s="99"/>
      <c r="Q869" s="99"/>
      <c r="R869" s="99"/>
      <c r="S869" s="99"/>
      <c r="T869" s="99"/>
      <c r="U869" s="99"/>
      <c r="V869" s="99"/>
      <c r="W869" s="99"/>
      <c r="X869" s="99"/>
      <c r="Y869" s="99"/>
      <c r="Z869" s="99"/>
      <c r="AA869" s="99"/>
      <c r="AB869" s="99"/>
      <c r="AC869" s="95" t="str">
        <f t="shared" si="1"/>
        <v/>
      </c>
    </row>
    <row r="870" ht="15.75" customHeight="1">
      <c r="N870" s="99"/>
      <c r="O870" s="99"/>
      <c r="P870" s="99"/>
      <c r="Q870" s="99"/>
      <c r="R870" s="99"/>
      <c r="S870" s="99"/>
      <c r="T870" s="99"/>
      <c r="U870" s="99"/>
      <c r="V870" s="99"/>
      <c r="W870" s="99"/>
      <c r="X870" s="99"/>
      <c r="Y870" s="99"/>
      <c r="Z870" s="99"/>
      <c r="AA870" s="99"/>
      <c r="AB870" s="99"/>
      <c r="AC870" s="95" t="str">
        <f t="shared" si="1"/>
        <v/>
      </c>
    </row>
    <row r="871" ht="15.75" customHeight="1">
      <c r="N871" s="99"/>
      <c r="O871" s="99"/>
      <c r="P871" s="99"/>
      <c r="Q871" s="99"/>
      <c r="R871" s="99"/>
      <c r="S871" s="99"/>
      <c r="T871" s="99"/>
      <c r="U871" s="99"/>
      <c r="V871" s="99"/>
      <c r="W871" s="99"/>
      <c r="X871" s="99"/>
      <c r="Y871" s="99"/>
      <c r="Z871" s="99"/>
      <c r="AA871" s="99"/>
      <c r="AB871" s="99"/>
      <c r="AC871" s="95" t="str">
        <f t="shared" si="1"/>
        <v/>
      </c>
    </row>
    <row r="872" ht="15.75" customHeight="1">
      <c r="N872" s="99"/>
      <c r="O872" s="99"/>
      <c r="P872" s="99"/>
      <c r="Q872" s="99"/>
      <c r="R872" s="99"/>
      <c r="S872" s="99"/>
      <c r="T872" s="99"/>
      <c r="U872" s="99"/>
      <c r="V872" s="99"/>
      <c r="W872" s="99"/>
      <c r="X872" s="99"/>
      <c r="Y872" s="99"/>
      <c r="Z872" s="99"/>
      <c r="AA872" s="99"/>
      <c r="AB872" s="99"/>
      <c r="AC872" s="95" t="str">
        <f t="shared" si="1"/>
        <v/>
      </c>
    </row>
    <row r="873" ht="15.75" customHeight="1">
      <c r="N873" s="99"/>
      <c r="O873" s="99"/>
      <c r="P873" s="99"/>
      <c r="Q873" s="99"/>
      <c r="R873" s="99"/>
      <c r="S873" s="99"/>
      <c r="T873" s="99"/>
      <c r="U873" s="99"/>
      <c r="V873" s="99"/>
      <c r="W873" s="99"/>
      <c r="X873" s="99"/>
      <c r="Y873" s="99"/>
      <c r="Z873" s="99"/>
      <c r="AA873" s="99"/>
      <c r="AB873" s="99"/>
      <c r="AC873" s="95" t="str">
        <f t="shared" si="1"/>
        <v/>
      </c>
    </row>
    <row r="874" ht="15.75" customHeight="1">
      <c r="N874" s="99"/>
      <c r="O874" s="99"/>
      <c r="P874" s="99"/>
      <c r="Q874" s="99"/>
      <c r="R874" s="99"/>
      <c r="S874" s="99"/>
      <c r="T874" s="99"/>
      <c r="U874" s="99"/>
      <c r="V874" s="99"/>
      <c r="W874" s="99"/>
      <c r="X874" s="99"/>
      <c r="Y874" s="99"/>
      <c r="Z874" s="99"/>
      <c r="AA874" s="99"/>
      <c r="AB874" s="99"/>
      <c r="AC874" s="95" t="str">
        <f t="shared" si="1"/>
        <v/>
      </c>
    </row>
    <row r="875" ht="15.75" customHeight="1">
      <c r="N875" s="99"/>
      <c r="O875" s="99"/>
      <c r="P875" s="99"/>
      <c r="Q875" s="99"/>
      <c r="R875" s="99"/>
      <c r="S875" s="99"/>
      <c r="T875" s="99"/>
      <c r="U875" s="99"/>
      <c r="V875" s="99"/>
      <c r="W875" s="99"/>
      <c r="X875" s="99"/>
      <c r="Y875" s="99"/>
      <c r="Z875" s="99"/>
      <c r="AA875" s="99"/>
      <c r="AB875" s="99"/>
      <c r="AC875" s="95" t="str">
        <f t="shared" si="1"/>
        <v/>
      </c>
    </row>
    <row r="876" ht="15.75" customHeight="1">
      <c r="N876" s="99"/>
      <c r="O876" s="99"/>
      <c r="P876" s="99"/>
      <c r="Q876" s="99"/>
      <c r="R876" s="99"/>
      <c r="S876" s="99"/>
      <c r="T876" s="99"/>
      <c r="U876" s="99"/>
      <c r="V876" s="99"/>
      <c r="W876" s="99"/>
      <c r="X876" s="99"/>
      <c r="Y876" s="99"/>
      <c r="Z876" s="99"/>
      <c r="AA876" s="99"/>
      <c r="AB876" s="99"/>
      <c r="AC876" s="95" t="str">
        <f t="shared" si="1"/>
        <v/>
      </c>
    </row>
    <row r="877" ht="15.75" customHeight="1">
      <c r="N877" s="99"/>
      <c r="O877" s="99"/>
      <c r="P877" s="99"/>
      <c r="Q877" s="99"/>
      <c r="R877" s="99"/>
      <c r="S877" s="99"/>
      <c r="T877" s="99"/>
      <c r="U877" s="99"/>
      <c r="V877" s="99"/>
      <c r="W877" s="99"/>
      <c r="X877" s="99"/>
      <c r="Y877" s="99"/>
      <c r="Z877" s="99"/>
      <c r="AA877" s="99"/>
      <c r="AB877" s="99"/>
      <c r="AC877" s="95" t="str">
        <f t="shared" si="1"/>
        <v/>
      </c>
    </row>
    <row r="878" ht="15.75" customHeight="1">
      <c r="N878" s="99"/>
      <c r="O878" s="99"/>
      <c r="P878" s="99"/>
      <c r="Q878" s="99"/>
      <c r="R878" s="99"/>
      <c r="S878" s="99"/>
      <c r="T878" s="99"/>
      <c r="U878" s="99"/>
      <c r="V878" s="99"/>
      <c r="W878" s="99"/>
      <c r="X878" s="99"/>
      <c r="Y878" s="99"/>
      <c r="Z878" s="99"/>
      <c r="AA878" s="99"/>
      <c r="AB878" s="99"/>
      <c r="AC878" s="95" t="str">
        <f t="shared" si="1"/>
        <v/>
      </c>
    </row>
    <row r="879" ht="15.75" customHeight="1">
      <c r="N879" s="99"/>
      <c r="O879" s="99"/>
      <c r="P879" s="99"/>
      <c r="Q879" s="99"/>
      <c r="R879" s="99"/>
      <c r="S879" s="99"/>
      <c r="T879" s="99"/>
      <c r="U879" s="99"/>
      <c r="V879" s="99"/>
      <c r="W879" s="99"/>
      <c r="X879" s="99"/>
      <c r="Y879" s="99"/>
      <c r="Z879" s="99"/>
      <c r="AA879" s="99"/>
      <c r="AB879" s="99"/>
      <c r="AC879" s="95" t="str">
        <f t="shared" si="1"/>
        <v/>
      </c>
    </row>
    <row r="880" ht="15.75" customHeight="1">
      <c r="N880" s="99"/>
      <c r="O880" s="99"/>
      <c r="P880" s="99"/>
      <c r="Q880" s="99"/>
      <c r="R880" s="99"/>
      <c r="S880" s="99"/>
      <c r="T880" s="99"/>
      <c r="U880" s="99"/>
      <c r="V880" s="99"/>
      <c r="W880" s="99"/>
      <c r="X880" s="99"/>
      <c r="Y880" s="99"/>
      <c r="Z880" s="99"/>
      <c r="AA880" s="99"/>
      <c r="AB880" s="99"/>
      <c r="AC880" s="95" t="str">
        <f t="shared" si="1"/>
        <v/>
      </c>
    </row>
    <row r="881" ht="15.75" customHeight="1">
      <c r="N881" s="99"/>
      <c r="O881" s="99"/>
      <c r="P881" s="99"/>
      <c r="Q881" s="99"/>
      <c r="R881" s="99"/>
      <c r="S881" s="99"/>
      <c r="T881" s="99"/>
      <c r="U881" s="99"/>
      <c r="V881" s="99"/>
      <c r="W881" s="99"/>
      <c r="X881" s="99"/>
      <c r="Y881" s="99"/>
      <c r="Z881" s="99"/>
      <c r="AA881" s="99"/>
      <c r="AB881" s="99"/>
      <c r="AC881" s="95" t="str">
        <f t="shared" si="1"/>
        <v/>
      </c>
    </row>
    <row r="882" ht="15.75" customHeight="1">
      <c r="N882" s="99"/>
      <c r="O882" s="99"/>
      <c r="P882" s="99"/>
      <c r="Q882" s="99"/>
      <c r="R882" s="99"/>
      <c r="S882" s="99"/>
      <c r="T882" s="99"/>
      <c r="U882" s="99"/>
      <c r="V882" s="99"/>
      <c r="W882" s="99"/>
      <c r="X882" s="99"/>
      <c r="Y882" s="99"/>
      <c r="Z882" s="99"/>
      <c r="AA882" s="99"/>
      <c r="AB882" s="99"/>
      <c r="AC882" s="95" t="str">
        <f t="shared" si="1"/>
        <v/>
      </c>
    </row>
    <row r="883" ht="15.75" customHeight="1">
      <c r="N883" s="99"/>
      <c r="O883" s="99"/>
      <c r="P883" s="99"/>
      <c r="Q883" s="99"/>
      <c r="R883" s="99"/>
      <c r="S883" s="99"/>
      <c r="T883" s="99"/>
      <c r="U883" s="99"/>
      <c r="V883" s="99"/>
      <c r="W883" s="99"/>
      <c r="X883" s="99"/>
      <c r="Y883" s="99"/>
      <c r="Z883" s="99"/>
      <c r="AA883" s="99"/>
      <c r="AB883" s="99"/>
      <c r="AC883" s="95" t="str">
        <f t="shared" si="1"/>
        <v/>
      </c>
    </row>
    <row r="884" ht="15.75" customHeight="1">
      <c r="N884" s="99"/>
      <c r="O884" s="99"/>
      <c r="P884" s="99"/>
      <c r="Q884" s="99"/>
      <c r="R884" s="99"/>
      <c r="S884" s="99"/>
      <c r="T884" s="99"/>
      <c r="U884" s="99"/>
      <c r="V884" s="99"/>
      <c r="W884" s="99"/>
      <c r="X884" s="99"/>
      <c r="Y884" s="99"/>
      <c r="Z884" s="99"/>
      <c r="AA884" s="99"/>
      <c r="AB884" s="99"/>
      <c r="AC884" s="95" t="str">
        <f t="shared" si="1"/>
        <v/>
      </c>
    </row>
    <row r="885" ht="15.75" customHeight="1">
      <c r="N885" s="99"/>
      <c r="O885" s="99"/>
      <c r="P885" s="99"/>
      <c r="Q885" s="99"/>
      <c r="R885" s="99"/>
      <c r="S885" s="99"/>
      <c r="T885" s="99"/>
      <c r="U885" s="99"/>
      <c r="V885" s="99"/>
      <c r="W885" s="99"/>
      <c r="X885" s="99"/>
      <c r="Y885" s="99"/>
      <c r="Z885" s="99"/>
      <c r="AA885" s="99"/>
      <c r="AB885" s="99"/>
      <c r="AC885" s="95" t="str">
        <f t="shared" si="1"/>
        <v/>
      </c>
    </row>
    <row r="886" ht="15.75" customHeight="1">
      <c r="N886" s="99"/>
      <c r="O886" s="99"/>
      <c r="P886" s="99"/>
      <c r="Q886" s="99"/>
      <c r="R886" s="99"/>
      <c r="S886" s="99"/>
      <c r="T886" s="99"/>
      <c r="U886" s="99"/>
      <c r="V886" s="99"/>
      <c r="W886" s="99"/>
      <c r="X886" s="99"/>
      <c r="Y886" s="99"/>
      <c r="Z886" s="99"/>
      <c r="AA886" s="99"/>
      <c r="AB886" s="99"/>
      <c r="AC886" s="95" t="str">
        <f t="shared" si="1"/>
        <v/>
      </c>
    </row>
    <row r="887" ht="15.75" customHeight="1">
      <c r="N887" s="99"/>
      <c r="O887" s="99"/>
      <c r="P887" s="99"/>
      <c r="Q887" s="99"/>
      <c r="R887" s="99"/>
      <c r="S887" s="99"/>
      <c r="T887" s="99"/>
      <c r="U887" s="99"/>
      <c r="V887" s="99"/>
      <c r="W887" s="99"/>
      <c r="X887" s="99"/>
      <c r="Y887" s="99"/>
      <c r="Z887" s="99"/>
      <c r="AA887" s="99"/>
      <c r="AB887" s="99"/>
      <c r="AC887" s="95" t="str">
        <f t="shared" si="1"/>
        <v/>
      </c>
    </row>
    <row r="888" ht="15.75" customHeight="1">
      <c r="N888" s="99"/>
      <c r="O888" s="99"/>
      <c r="P888" s="99"/>
      <c r="Q888" s="99"/>
      <c r="R888" s="99"/>
      <c r="S888" s="99"/>
      <c r="T888" s="99"/>
      <c r="U888" s="99"/>
      <c r="V888" s="99"/>
      <c r="W888" s="99"/>
      <c r="X888" s="99"/>
      <c r="Y888" s="99"/>
      <c r="Z888" s="99"/>
      <c r="AA888" s="99"/>
      <c r="AB888" s="99"/>
      <c r="AC888" s="95" t="str">
        <f t="shared" si="1"/>
        <v/>
      </c>
    </row>
    <row r="889" ht="15.75" customHeight="1">
      <c r="N889" s="99"/>
      <c r="O889" s="99"/>
      <c r="P889" s="99"/>
      <c r="Q889" s="99"/>
      <c r="R889" s="99"/>
      <c r="S889" s="99"/>
      <c r="T889" s="99"/>
      <c r="U889" s="99"/>
      <c r="V889" s="99"/>
      <c r="W889" s="99"/>
      <c r="X889" s="99"/>
      <c r="Y889" s="99"/>
      <c r="Z889" s="99"/>
      <c r="AA889" s="99"/>
      <c r="AB889" s="99"/>
      <c r="AC889" s="95" t="str">
        <f t="shared" si="1"/>
        <v/>
      </c>
    </row>
    <row r="890" ht="15.75" customHeight="1">
      <c r="N890" s="99"/>
      <c r="O890" s="99"/>
      <c r="P890" s="99"/>
      <c r="Q890" s="99"/>
      <c r="R890" s="99"/>
      <c r="S890" s="99"/>
      <c r="T890" s="99"/>
      <c r="U890" s="99"/>
      <c r="V890" s="99"/>
      <c r="W890" s="99"/>
      <c r="X890" s="99"/>
      <c r="Y890" s="99"/>
      <c r="Z890" s="99"/>
      <c r="AA890" s="99"/>
      <c r="AB890" s="99"/>
      <c r="AC890" s="95" t="str">
        <f t="shared" si="1"/>
        <v/>
      </c>
    </row>
    <row r="891" ht="15.75" customHeight="1">
      <c r="N891" s="99"/>
      <c r="O891" s="99"/>
      <c r="P891" s="99"/>
      <c r="Q891" s="99"/>
      <c r="R891" s="99"/>
      <c r="S891" s="99"/>
      <c r="T891" s="99"/>
      <c r="U891" s="99"/>
      <c r="V891" s="99"/>
      <c r="W891" s="99"/>
      <c r="X891" s="99"/>
      <c r="Y891" s="99"/>
      <c r="Z891" s="99"/>
      <c r="AA891" s="99"/>
      <c r="AB891" s="99"/>
      <c r="AC891" s="95" t="str">
        <f t="shared" si="1"/>
        <v/>
      </c>
    </row>
    <row r="892" ht="15.75" customHeight="1">
      <c r="N892" s="99"/>
      <c r="O892" s="99"/>
      <c r="P892" s="99"/>
      <c r="Q892" s="99"/>
      <c r="R892" s="99"/>
      <c r="S892" s="99"/>
      <c r="T892" s="99"/>
      <c r="U892" s="99"/>
      <c r="V892" s="99"/>
      <c r="W892" s="99"/>
      <c r="X892" s="99"/>
      <c r="Y892" s="99"/>
      <c r="Z892" s="99"/>
      <c r="AA892" s="99"/>
      <c r="AB892" s="99"/>
      <c r="AC892" s="95" t="str">
        <f t="shared" si="1"/>
        <v/>
      </c>
    </row>
    <row r="893" ht="15.75" customHeight="1">
      <c r="N893" s="99"/>
      <c r="O893" s="99"/>
      <c r="P893" s="99"/>
      <c r="Q893" s="99"/>
      <c r="R893" s="99"/>
      <c r="S893" s="99"/>
      <c r="T893" s="99"/>
      <c r="U893" s="99"/>
      <c r="V893" s="99"/>
      <c r="W893" s="99"/>
      <c r="X893" s="99"/>
      <c r="Y893" s="99"/>
      <c r="Z893" s="99"/>
      <c r="AA893" s="99"/>
      <c r="AB893" s="99"/>
      <c r="AC893" s="95" t="str">
        <f t="shared" si="1"/>
        <v/>
      </c>
    </row>
    <row r="894" ht="15.75" customHeight="1">
      <c r="N894" s="99"/>
      <c r="O894" s="99"/>
      <c r="P894" s="99"/>
      <c r="Q894" s="99"/>
      <c r="R894" s="99"/>
      <c r="S894" s="99"/>
      <c r="T894" s="99"/>
      <c r="U894" s="99"/>
      <c r="V894" s="99"/>
      <c r="W894" s="99"/>
      <c r="X894" s="99"/>
      <c r="Y894" s="99"/>
      <c r="Z894" s="99"/>
      <c r="AA894" s="99"/>
      <c r="AB894" s="99"/>
      <c r="AC894" s="95" t="str">
        <f t="shared" si="1"/>
        <v/>
      </c>
    </row>
    <row r="895" ht="15.75" customHeight="1">
      <c r="N895" s="99"/>
      <c r="O895" s="99"/>
      <c r="P895" s="99"/>
      <c r="Q895" s="99"/>
      <c r="R895" s="99"/>
      <c r="S895" s="99"/>
      <c r="T895" s="99"/>
      <c r="U895" s="99"/>
      <c r="V895" s="99"/>
      <c r="W895" s="99"/>
      <c r="X895" s="99"/>
      <c r="Y895" s="99"/>
      <c r="Z895" s="99"/>
      <c r="AA895" s="99"/>
      <c r="AB895" s="99"/>
      <c r="AC895" s="95" t="str">
        <f t="shared" si="1"/>
        <v/>
      </c>
    </row>
    <row r="896" ht="15.75" customHeight="1">
      <c r="N896" s="99"/>
      <c r="O896" s="99"/>
      <c r="P896" s="99"/>
      <c r="Q896" s="99"/>
      <c r="R896" s="99"/>
      <c r="S896" s="99"/>
      <c r="T896" s="99"/>
      <c r="U896" s="99"/>
      <c r="V896" s="99"/>
      <c r="W896" s="99"/>
      <c r="X896" s="99"/>
      <c r="Y896" s="99"/>
      <c r="Z896" s="99"/>
      <c r="AA896" s="99"/>
      <c r="AB896" s="99"/>
      <c r="AC896" s="95" t="str">
        <f t="shared" si="1"/>
        <v/>
      </c>
    </row>
    <row r="897" ht="15.75" customHeight="1">
      <c r="N897" s="99"/>
      <c r="O897" s="99"/>
      <c r="P897" s="99"/>
      <c r="Q897" s="99"/>
      <c r="R897" s="99"/>
      <c r="S897" s="99"/>
      <c r="T897" s="99"/>
      <c r="U897" s="99"/>
      <c r="V897" s="99"/>
      <c r="W897" s="99"/>
      <c r="X897" s="99"/>
      <c r="Y897" s="99"/>
      <c r="Z897" s="99"/>
      <c r="AA897" s="99"/>
      <c r="AB897" s="99"/>
      <c r="AC897" s="95" t="str">
        <f t="shared" si="1"/>
        <v/>
      </c>
    </row>
    <row r="898" ht="15.75" customHeight="1">
      <c r="N898" s="99"/>
      <c r="O898" s="99"/>
      <c r="P898" s="99"/>
      <c r="Q898" s="99"/>
      <c r="R898" s="99"/>
      <c r="S898" s="99"/>
      <c r="T898" s="99"/>
      <c r="U898" s="99"/>
      <c r="V898" s="99"/>
      <c r="W898" s="99"/>
      <c r="X898" s="99"/>
      <c r="Y898" s="99"/>
      <c r="Z898" s="99"/>
      <c r="AA898" s="99"/>
      <c r="AB898" s="99"/>
      <c r="AC898" s="95" t="str">
        <f t="shared" si="1"/>
        <v/>
      </c>
    </row>
    <row r="899" ht="15.75" customHeight="1">
      <c r="N899" s="99"/>
      <c r="O899" s="99"/>
      <c r="P899" s="99"/>
      <c r="Q899" s="99"/>
      <c r="R899" s="99"/>
      <c r="S899" s="99"/>
      <c r="T899" s="99"/>
      <c r="U899" s="99"/>
      <c r="V899" s="99"/>
      <c r="W899" s="99"/>
      <c r="X899" s="99"/>
      <c r="Y899" s="99"/>
      <c r="Z899" s="99"/>
      <c r="AA899" s="99"/>
      <c r="AB899" s="99"/>
      <c r="AC899" s="95" t="str">
        <f t="shared" si="1"/>
        <v/>
      </c>
    </row>
    <row r="900" ht="15.75" customHeight="1">
      <c r="N900" s="99"/>
      <c r="O900" s="99"/>
      <c r="P900" s="99"/>
      <c r="Q900" s="99"/>
      <c r="R900" s="99"/>
      <c r="S900" s="99"/>
      <c r="T900" s="99"/>
      <c r="U900" s="99"/>
      <c r="V900" s="99"/>
      <c r="W900" s="99"/>
      <c r="X900" s="99"/>
      <c r="Y900" s="99"/>
      <c r="Z900" s="99"/>
      <c r="AA900" s="99"/>
      <c r="AB900" s="99"/>
      <c r="AC900" s="95" t="str">
        <f t="shared" si="1"/>
        <v/>
      </c>
    </row>
    <row r="901" ht="15.75" customHeight="1">
      <c r="N901" s="99"/>
      <c r="O901" s="99"/>
      <c r="P901" s="99"/>
      <c r="Q901" s="99"/>
      <c r="R901" s="99"/>
      <c r="S901" s="99"/>
      <c r="T901" s="99"/>
      <c r="U901" s="99"/>
      <c r="V901" s="99"/>
      <c r="W901" s="99"/>
      <c r="X901" s="99"/>
      <c r="Y901" s="99"/>
      <c r="Z901" s="99"/>
      <c r="AA901" s="99"/>
      <c r="AB901" s="99"/>
      <c r="AC901" s="95" t="str">
        <f t="shared" si="1"/>
        <v/>
      </c>
    </row>
    <row r="902" ht="15.75" customHeight="1">
      <c r="N902" s="99"/>
      <c r="O902" s="99"/>
      <c r="P902" s="99"/>
      <c r="Q902" s="99"/>
      <c r="R902" s="99"/>
      <c r="S902" s="99"/>
      <c r="T902" s="99"/>
      <c r="U902" s="99"/>
      <c r="V902" s="99"/>
      <c r="W902" s="99"/>
      <c r="X902" s="99"/>
      <c r="Y902" s="99"/>
      <c r="Z902" s="99"/>
      <c r="AA902" s="99"/>
      <c r="AB902" s="99"/>
      <c r="AC902" s="95" t="str">
        <f t="shared" si="1"/>
        <v/>
      </c>
    </row>
    <row r="903" ht="15.75" customHeight="1">
      <c r="N903" s="99"/>
      <c r="O903" s="99"/>
      <c r="P903" s="99"/>
      <c r="Q903" s="99"/>
      <c r="R903" s="99"/>
      <c r="S903" s="99"/>
      <c r="T903" s="99"/>
      <c r="U903" s="99"/>
      <c r="V903" s="99"/>
      <c r="W903" s="99"/>
      <c r="X903" s="99"/>
      <c r="Y903" s="99"/>
      <c r="Z903" s="99"/>
      <c r="AA903" s="99"/>
      <c r="AB903" s="99"/>
      <c r="AC903" s="95" t="str">
        <f t="shared" si="1"/>
        <v/>
      </c>
    </row>
    <row r="904" ht="15.75" customHeight="1">
      <c r="N904" s="99"/>
      <c r="O904" s="99"/>
      <c r="P904" s="99"/>
      <c r="Q904" s="99"/>
      <c r="R904" s="99"/>
      <c r="S904" s="99"/>
      <c r="T904" s="99"/>
      <c r="U904" s="99"/>
      <c r="V904" s="99"/>
      <c r="W904" s="99"/>
      <c r="X904" s="99"/>
      <c r="Y904" s="99"/>
      <c r="Z904" s="99"/>
      <c r="AA904" s="99"/>
      <c r="AB904" s="99"/>
      <c r="AC904" s="95" t="str">
        <f t="shared" si="1"/>
        <v/>
      </c>
    </row>
    <row r="905" ht="15.75" customHeight="1">
      <c r="N905" s="99"/>
      <c r="O905" s="99"/>
      <c r="P905" s="99"/>
      <c r="Q905" s="99"/>
      <c r="R905" s="99"/>
      <c r="S905" s="99"/>
      <c r="T905" s="99"/>
      <c r="U905" s="99"/>
      <c r="V905" s="99"/>
      <c r="W905" s="99"/>
      <c r="X905" s="99"/>
      <c r="Y905" s="99"/>
      <c r="Z905" s="99"/>
      <c r="AA905" s="99"/>
      <c r="AB905" s="99"/>
      <c r="AC905" s="95" t="str">
        <f t="shared" si="1"/>
        <v/>
      </c>
    </row>
    <row r="906" ht="15.75" customHeight="1">
      <c r="N906" s="99"/>
      <c r="O906" s="99"/>
      <c r="P906" s="99"/>
      <c r="Q906" s="99"/>
      <c r="R906" s="99"/>
      <c r="S906" s="99"/>
      <c r="T906" s="99"/>
      <c r="U906" s="99"/>
      <c r="V906" s="99"/>
      <c r="W906" s="99"/>
      <c r="X906" s="99"/>
      <c r="Y906" s="99"/>
      <c r="Z906" s="99"/>
      <c r="AA906" s="99"/>
      <c r="AB906" s="99"/>
      <c r="AC906" s="95" t="str">
        <f t="shared" si="1"/>
        <v/>
      </c>
    </row>
    <row r="907" ht="15.75" customHeight="1">
      <c r="N907" s="99"/>
      <c r="O907" s="99"/>
      <c r="P907" s="99"/>
      <c r="Q907" s="99"/>
      <c r="R907" s="99"/>
      <c r="S907" s="99"/>
      <c r="T907" s="99"/>
      <c r="U907" s="99"/>
      <c r="V907" s="99"/>
      <c r="W907" s="99"/>
      <c r="X907" s="99"/>
      <c r="Y907" s="99"/>
      <c r="Z907" s="99"/>
      <c r="AA907" s="99"/>
      <c r="AB907" s="99"/>
      <c r="AC907" s="95" t="str">
        <f t="shared" si="1"/>
        <v/>
      </c>
    </row>
    <row r="908" ht="15.75" customHeight="1">
      <c r="N908" s="99"/>
      <c r="O908" s="99"/>
      <c r="P908" s="99"/>
      <c r="Q908" s="99"/>
      <c r="R908" s="99"/>
      <c r="S908" s="99"/>
      <c r="T908" s="99"/>
      <c r="U908" s="99"/>
      <c r="V908" s="99"/>
      <c r="W908" s="99"/>
      <c r="X908" s="99"/>
      <c r="Y908" s="99"/>
      <c r="Z908" s="99"/>
      <c r="AA908" s="99"/>
      <c r="AB908" s="99"/>
      <c r="AC908" s="95" t="str">
        <f t="shared" si="1"/>
        <v/>
      </c>
    </row>
    <row r="909" ht="15.75" customHeight="1">
      <c r="N909" s="99"/>
      <c r="O909" s="99"/>
      <c r="P909" s="99"/>
      <c r="Q909" s="99"/>
      <c r="R909" s="99"/>
      <c r="S909" s="99"/>
      <c r="T909" s="99"/>
      <c r="U909" s="99"/>
      <c r="V909" s="99"/>
      <c r="W909" s="99"/>
      <c r="X909" s="99"/>
      <c r="Y909" s="99"/>
      <c r="Z909" s="99"/>
      <c r="AA909" s="99"/>
      <c r="AB909" s="99"/>
      <c r="AC909" s="95" t="str">
        <f t="shared" si="1"/>
        <v/>
      </c>
    </row>
    <row r="910" ht="15.75" customHeight="1">
      <c r="N910" s="99"/>
      <c r="O910" s="99"/>
      <c r="P910" s="99"/>
      <c r="Q910" s="99"/>
      <c r="R910" s="99"/>
      <c r="S910" s="99"/>
      <c r="T910" s="99"/>
      <c r="U910" s="99"/>
      <c r="V910" s="99"/>
      <c r="W910" s="99"/>
      <c r="X910" s="99"/>
      <c r="Y910" s="99"/>
      <c r="Z910" s="99"/>
      <c r="AA910" s="99"/>
      <c r="AB910" s="99"/>
      <c r="AC910" s="95" t="str">
        <f t="shared" si="1"/>
        <v/>
      </c>
    </row>
    <row r="911" ht="15.75" customHeight="1">
      <c r="N911" s="99"/>
      <c r="O911" s="99"/>
      <c r="P911" s="99"/>
      <c r="Q911" s="99"/>
      <c r="R911" s="99"/>
      <c r="S911" s="99"/>
      <c r="T911" s="99"/>
      <c r="U911" s="99"/>
      <c r="V911" s="99"/>
      <c r="W911" s="99"/>
      <c r="X911" s="99"/>
      <c r="Y911" s="99"/>
      <c r="Z911" s="99"/>
      <c r="AA911" s="99"/>
      <c r="AB911" s="99"/>
      <c r="AC911" s="95" t="str">
        <f t="shared" si="1"/>
        <v/>
      </c>
    </row>
    <row r="912" ht="15.75" customHeight="1">
      <c r="N912" s="99"/>
      <c r="O912" s="99"/>
      <c r="P912" s="99"/>
      <c r="Q912" s="99"/>
      <c r="R912" s="99"/>
      <c r="S912" s="99"/>
      <c r="T912" s="99"/>
      <c r="U912" s="99"/>
      <c r="V912" s="99"/>
      <c r="W912" s="99"/>
      <c r="X912" s="99"/>
      <c r="Y912" s="99"/>
      <c r="Z912" s="99"/>
      <c r="AA912" s="99"/>
      <c r="AB912" s="99"/>
      <c r="AC912" s="95" t="str">
        <f t="shared" si="1"/>
        <v/>
      </c>
    </row>
    <row r="913" ht="15.75" customHeight="1">
      <c r="N913" s="99"/>
      <c r="O913" s="99"/>
      <c r="P913" s="99"/>
      <c r="Q913" s="99"/>
      <c r="R913" s="99"/>
      <c r="S913" s="99"/>
      <c r="T913" s="99"/>
      <c r="U913" s="99"/>
      <c r="V913" s="99"/>
      <c r="W913" s="99"/>
      <c r="X913" s="99"/>
      <c r="Y913" s="99"/>
      <c r="Z913" s="99"/>
      <c r="AA913" s="99"/>
      <c r="AB913" s="99"/>
      <c r="AC913" s="95" t="str">
        <f t="shared" si="1"/>
        <v/>
      </c>
    </row>
    <row r="914" ht="15.75" customHeight="1">
      <c r="N914" s="99"/>
      <c r="O914" s="99"/>
      <c r="P914" s="99"/>
      <c r="Q914" s="99"/>
      <c r="R914" s="99"/>
      <c r="S914" s="99"/>
      <c r="T914" s="99"/>
      <c r="U914" s="99"/>
      <c r="V914" s="99"/>
      <c r="W914" s="99"/>
      <c r="X914" s="99"/>
      <c r="Y914" s="99"/>
      <c r="Z914" s="99"/>
      <c r="AA914" s="99"/>
      <c r="AB914" s="99"/>
      <c r="AC914" s="95" t="str">
        <f t="shared" si="1"/>
        <v/>
      </c>
    </row>
    <row r="915" ht="15.75" customHeight="1">
      <c r="N915" s="99"/>
      <c r="O915" s="99"/>
      <c r="P915" s="99"/>
      <c r="Q915" s="99"/>
      <c r="R915" s="99"/>
      <c r="S915" s="99"/>
      <c r="T915" s="99"/>
      <c r="U915" s="99"/>
      <c r="V915" s="99"/>
      <c r="W915" s="99"/>
      <c r="X915" s="99"/>
      <c r="Y915" s="99"/>
      <c r="Z915" s="99"/>
      <c r="AA915" s="99"/>
      <c r="AB915" s="99"/>
      <c r="AC915" s="95" t="str">
        <f t="shared" si="1"/>
        <v/>
      </c>
    </row>
    <row r="916" ht="15.75" customHeight="1">
      <c r="N916" s="99"/>
      <c r="O916" s="99"/>
      <c r="P916" s="99"/>
      <c r="Q916" s="99"/>
      <c r="R916" s="99"/>
      <c r="S916" s="99"/>
      <c r="T916" s="99"/>
      <c r="U916" s="99"/>
      <c r="V916" s="99"/>
      <c r="W916" s="99"/>
      <c r="X916" s="99"/>
      <c r="Y916" s="99"/>
      <c r="Z916" s="99"/>
      <c r="AA916" s="99"/>
      <c r="AB916" s="99"/>
      <c r="AC916" s="95" t="str">
        <f t="shared" si="1"/>
        <v/>
      </c>
    </row>
    <row r="917" ht="15.75" customHeight="1">
      <c r="N917" s="99"/>
      <c r="O917" s="99"/>
      <c r="P917" s="99"/>
      <c r="Q917" s="99"/>
      <c r="R917" s="99"/>
      <c r="S917" s="99"/>
      <c r="T917" s="99"/>
      <c r="U917" s="99"/>
      <c r="V917" s="99"/>
      <c r="W917" s="99"/>
      <c r="X917" s="99"/>
      <c r="Y917" s="99"/>
      <c r="Z917" s="99"/>
      <c r="AA917" s="99"/>
      <c r="AB917" s="99"/>
      <c r="AC917" s="95" t="str">
        <f t="shared" si="1"/>
        <v/>
      </c>
    </row>
    <row r="918" ht="15.75" customHeight="1">
      <c r="N918" s="99"/>
      <c r="O918" s="99"/>
      <c r="P918" s="99"/>
      <c r="Q918" s="99"/>
      <c r="R918" s="99"/>
      <c r="S918" s="99"/>
      <c r="T918" s="99"/>
      <c r="U918" s="99"/>
      <c r="V918" s="99"/>
      <c r="W918" s="99"/>
      <c r="X918" s="99"/>
      <c r="Y918" s="99"/>
      <c r="Z918" s="99"/>
      <c r="AA918" s="99"/>
      <c r="AB918" s="99"/>
      <c r="AC918" s="95" t="str">
        <f t="shared" si="1"/>
        <v/>
      </c>
    </row>
    <row r="919" ht="15.75" customHeight="1">
      <c r="N919" s="99"/>
      <c r="O919" s="99"/>
      <c r="P919" s="99"/>
      <c r="Q919" s="99"/>
      <c r="R919" s="99"/>
      <c r="S919" s="99"/>
      <c r="T919" s="99"/>
      <c r="U919" s="99"/>
      <c r="V919" s="99"/>
      <c r="W919" s="99"/>
      <c r="X919" s="99"/>
      <c r="Y919" s="99"/>
      <c r="Z919" s="99"/>
      <c r="AA919" s="99"/>
      <c r="AB919" s="99"/>
      <c r="AC919" s="95" t="str">
        <f t="shared" si="1"/>
        <v/>
      </c>
    </row>
    <row r="920" ht="15.75" customHeight="1">
      <c r="N920" s="99"/>
      <c r="O920" s="99"/>
      <c r="P920" s="99"/>
      <c r="Q920" s="99"/>
      <c r="R920" s="99"/>
      <c r="S920" s="99"/>
      <c r="T920" s="99"/>
      <c r="U920" s="99"/>
      <c r="V920" s="99"/>
      <c r="W920" s="99"/>
      <c r="X920" s="99"/>
      <c r="Y920" s="99"/>
      <c r="Z920" s="99"/>
      <c r="AA920" s="99"/>
      <c r="AB920" s="99"/>
      <c r="AC920" s="95" t="str">
        <f t="shared" si="1"/>
        <v/>
      </c>
    </row>
    <row r="921" ht="15.75" customHeight="1">
      <c r="N921" s="99"/>
      <c r="O921" s="99"/>
      <c r="P921" s="99"/>
      <c r="Q921" s="99"/>
      <c r="R921" s="99"/>
      <c r="S921" s="99"/>
      <c r="T921" s="99"/>
      <c r="U921" s="99"/>
      <c r="V921" s="99"/>
      <c r="W921" s="99"/>
      <c r="X921" s="99"/>
      <c r="Y921" s="99"/>
      <c r="Z921" s="99"/>
      <c r="AA921" s="99"/>
      <c r="AB921" s="99"/>
      <c r="AC921" s="95" t="str">
        <f t="shared" si="1"/>
        <v/>
      </c>
    </row>
    <row r="922" ht="15.75" customHeight="1">
      <c r="N922" s="99"/>
      <c r="O922" s="99"/>
      <c r="P922" s="99"/>
      <c r="Q922" s="99"/>
      <c r="R922" s="99"/>
      <c r="S922" s="99"/>
      <c r="T922" s="99"/>
      <c r="U922" s="99"/>
      <c r="V922" s="99"/>
      <c r="W922" s="99"/>
      <c r="X922" s="99"/>
      <c r="Y922" s="99"/>
      <c r="Z922" s="99"/>
      <c r="AA922" s="99"/>
      <c r="AB922" s="99"/>
      <c r="AC922" s="95" t="str">
        <f t="shared" si="1"/>
        <v/>
      </c>
    </row>
    <row r="923" ht="15.75" customHeight="1">
      <c r="N923" s="99"/>
      <c r="O923" s="99"/>
      <c r="P923" s="99"/>
      <c r="Q923" s="99"/>
      <c r="R923" s="99"/>
      <c r="S923" s="99"/>
      <c r="T923" s="99"/>
      <c r="U923" s="99"/>
      <c r="V923" s="99"/>
      <c r="W923" s="99"/>
      <c r="X923" s="99"/>
      <c r="Y923" s="99"/>
      <c r="Z923" s="99"/>
      <c r="AA923" s="99"/>
      <c r="AB923" s="99"/>
      <c r="AC923" s="95" t="str">
        <f t="shared" si="1"/>
        <v/>
      </c>
    </row>
    <row r="924" ht="15.75" customHeight="1">
      <c r="N924" s="99"/>
      <c r="O924" s="99"/>
      <c r="P924" s="99"/>
      <c r="Q924" s="99"/>
      <c r="R924" s="99"/>
      <c r="S924" s="99"/>
      <c r="T924" s="99"/>
      <c r="U924" s="99"/>
      <c r="V924" s="99"/>
      <c r="W924" s="99"/>
      <c r="X924" s="99"/>
      <c r="Y924" s="99"/>
      <c r="Z924" s="99"/>
      <c r="AA924" s="99"/>
      <c r="AB924" s="99"/>
      <c r="AC924" s="95" t="str">
        <f t="shared" si="1"/>
        <v/>
      </c>
    </row>
    <row r="925" ht="15.75" customHeight="1">
      <c r="N925" s="99"/>
      <c r="O925" s="99"/>
      <c r="P925" s="99"/>
      <c r="Q925" s="99"/>
      <c r="R925" s="99"/>
      <c r="S925" s="99"/>
      <c r="T925" s="99"/>
      <c r="U925" s="99"/>
      <c r="V925" s="99"/>
      <c r="W925" s="99"/>
      <c r="X925" s="99"/>
      <c r="Y925" s="99"/>
      <c r="Z925" s="99"/>
      <c r="AA925" s="99"/>
      <c r="AB925" s="99"/>
      <c r="AC925" s="95" t="str">
        <f t="shared" si="1"/>
        <v/>
      </c>
    </row>
    <row r="926" ht="15.75" customHeight="1">
      <c r="N926" s="99"/>
      <c r="O926" s="99"/>
      <c r="P926" s="99"/>
      <c r="Q926" s="99"/>
      <c r="R926" s="99"/>
      <c r="S926" s="99"/>
      <c r="T926" s="99"/>
      <c r="U926" s="99"/>
      <c r="V926" s="99"/>
      <c r="W926" s="99"/>
      <c r="X926" s="99"/>
      <c r="Y926" s="99"/>
      <c r="Z926" s="99"/>
      <c r="AA926" s="99"/>
      <c r="AB926" s="99"/>
      <c r="AC926" s="95" t="str">
        <f t="shared" si="1"/>
        <v/>
      </c>
    </row>
    <row r="927" ht="15.75" customHeight="1">
      <c r="N927" s="99"/>
      <c r="O927" s="99"/>
      <c r="P927" s="99"/>
      <c r="Q927" s="99"/>
      <c r="R927" s="99"/>
      <c r="S927" s="99"/>
      <c r="T927" s="99"/>
      <c r="U927" s="99"/>
      <c r="V927" s="99"/>
      <c r="W927" s="99"/>
      <c r="X927" s="99"/>
      <c r="Y927" s="99"/>
      <c r="Z927" s="99"/>
      <c r="AA927" s="99"/>
      <c r="AB927" s="99"/>
      <c r="AC927" s="95" t="str">
        <f t="shared" si="1"/>
        <v/>
      </c>
    </row>
    <row r="928" ht="15.75" customHeight="1">
      <c r="N928" s="99"/>
      <c r="O928" s="99"/>
      <c r="P928" s="99"/>
      <c r="Q928" s="99"/>
      <c r="R928" s="99"/>
      <c r="S928" s="99"/>
      <c r="T928" s="99"/>
      <c r="U928" s="99"/>
      <c r="V928" s="99"/>
      <c r="W928" s="99"/>
      <c r="X928" s="99"/>
      <c r="Y928" s="99"/>
      <c r="Z928" s="99"/>
      <c r="AA928" s="99"/>
      <c r="AB928" s="99"/>
      <c r="AC928" s="95" t="str">
        <f t="shared" si="1"/>
        <v/>
      </c>
    </row>
    <row r="929" ht="15.75" customHeight="1">
      <c r="N929" s="99"/>
      <c r="O929" s="99"/>
      <c r="P929" s="99"/>
      <c r="Q929" s="99"/>
      <c r="R929" s="99"/>
      <c r="S929" s="99"/>
      <c r="T929" s="99"/>
      <c r="U929" s="99"/>
      <c r="V929" s="99"/>
      <c r="W929" s="99"/>
      <c r="X929" s="99"/>
      <c r="Y929" s="99"/>
      <c r="Z929" s="99"/>
      <c r="AA929" s="99"/>
      <c r="AB929" s="99"/>
      <c r="AC929" s="95" t="str">
        <f t="shared" si="1"/>
        <v/>
      </c>
    </row>
    <row r="930" ht="15.75" customHeight="1">
      <c r="N930" s="99"/>
      <c r="O930" s="99"/>
      <c r="P930" s="99"/>
      <c r="Q930" s="99"/>
      <c r="R930" s="99"/>
      <c r="S930" s="99"/>
      <c r="T930" s="99"/>
      <c r="U930" s="99"/>
      <c r="V930" s="99"/>
      <c r="W930" s="99"/>
      <c r="X930" s="99"/>
      <c r="Y930" s="99"/>
      <c r="Z930" s="99"/>
      <c r="AA930" s="99"/>
      <c r="AB930" s="99"/>
      <c r="AC930" s="95" t="str">
        <f t="shared" si="1"/>
        <v/>
      </c>
    </row>
    <row r="931" ht="15.75" customHeight="1">
      <c r="N931" s="99"/>
      <c r="O931" s="99"/>
      <c r="P931" s="99"/>
      <c r="Q931" s="99"/>
      <c r="R931" s="99"/>
      <c r="S931" s="99"/>
      <c r="T931" s="99"/>
      <c r="U931" s="99"/>
      <c r="V931" s="99"/>
      <c r="W931" s="99"/>
      <c r="X931" s="99"/>
      <c r="Y931" s="99"/>
      <c r="Z931" s="99"/>
      <c r="AA931" s="99"/>
      <c r="AB931" s="99"/>
      <c r="AC931" s="95" t="str">
        <f t="shared" si="1"/>
        <v/>
      </c>
    </row>
    <row r="932" ht="15.75" customHeight="1">
      <c r="N932" s="99"/>
      <c r="O932" s="99"/>
      <c r="P932" s="99"/>
      <c r="Q932" s="99"/>
      <c r="R932" s="99"/>
      <c r="S932" s="99"/>
      <c r="T932" s="99"/>
      <c r="U932" s="99"/>
      <c r="V932" s="99"/>
      <c r="W932" s="99"/>
      <c r="X932" s="99"/>
      <c r="Y932" s="99"/>
      <c r="Z932" s="99"/>
      <c r="AA932" s="99"/>
      <c r="AB932" s="99"/>
      <c r="AC932" s="95" t="str">
        <f t="shared" si="1"/>
        <v/>
      </c>
    </row>
    <row r="933" ht="15.75" customHeight="1">
      <c r="N933" s="99"/>
      <c r="O933" s="99"/>
      <c r="P933" s="99"/>
      <c r="Q933" s="99"/>
      <c r="R933" s="99"/>
      <c r="S933" s="99"/>
      <c r="T933" s="99"/>
      <c r="U933" s="99"/>
      <c r="V933" s="99"/>
      <c r="W933" s="99"/>
      <c r="X933" s="99"/>
      <c r="Y933" s="99"/>
      <c r="Z933" s="99"/>
      <c r="AA933" s="99"/>
      <c r="AB933" s="99"/>
      <c r="AC933" s="95" t="str">
        <f t="shared" si="1"/>
        <v/>
      </c>
    </row>
    <row r="934" ht="15.75" customHeight="1">
      <c r="N934" s="99"/>
      <c r="O934" s="99"/>
      <c r="P934" s="99"/>
      <c r="Q934" s="99"/>
      <c r="R934" s="99"/>
      <c r="S934" s="99"/>
      <c r="T934" s="99"/>
      <c r="U934" s="99"/>
      <c r="V934" s="99"/>
      <c r="W934" s="99"/>
      <c r="X934" s="99"/>
      <c r="Y934" s="99"/>
      <c r="Z934" s="99"/>
      <c r="AA934" s="99"/>
      <c r="AB934" s="99"/>
      <c r="AC934" s="95" t="str">
        <f t="shared" si="1"/>
        <v/>
      </c>
    </row>
    <row r="935" ht="15.75" customHeight="1">
      <c r="N935" s="99"/>
      <c r="O935" s="99"/>
      <c r="P935" s="99"/>
      <c r="Q935" s="99"/>
      <c r="R935" s="99"/>
      <c r="S935" s="99"/>
      <c r="T935" s="99"/>
      <c r="U935" s="99"/>
      <c r="V935" s="99"/>
      <c r="W935" s="99"/>
      <c r="X935" s="99"/>
      <c r="Y935" s="99"/>
      <c r="Z935" s="99"/>
      <c r="AA935" s="99"/>
      <c r="AB935" s="99"/>
      <c r="AC935" s="95" t="str">
        <f t="shared" si="1"/>
        <v/>
      </c>
    </row>
    <row r="936" ht="15.75" customHeight="1">
      <c r="N936" s="99"/>
      <c r="O936" s="99"/>
      <c r="P936" s="99"/>
      <c r="Q936" s="99"/>
      <c r="R936" s="99"/>
      <c r="S936" s="99"/>
      <c r="T936" s="99"/>
      <c r="U936" s="99"/>
      <c r="V936" s="99"/>
      <c r="W936" s="99"/>
      <c r="X936" s="99"/>
      <c r="Y936" s="99"/>
      <c r="Z936" s="99"/>
      <c r="AA936" s="99"/>
      <c r="AB936" s="99"/>
      <c r="AC936" s="95" t="str">
        <f t="shared" si="1"/>
        <v/>
      </c>
    </row>
    <row r="937" ht="15.75" customHeight="1">
      <c r="N937" s="99"/>
      <c r="O937" s="99"/>
      <c r="P937" s="99"/>
      <c r="Q937" s="99"/>
      <c r="R937" s="99"/>
      <c r="S937" s="99"/>
      <c r="T937" s="99"/>
      <c r="U937" s="99"/>
      <c r="V937" s="99"/>
      <c r="W937" s="99"/>
      <c r="X937" s="99"/>
      <c r="Y937" s="99"/>
      <c r="Z937" s="99"/>
      <c r="AA937" s="99"/>
      <c r="AB937" s="99"/>
      <c r="AC937" s="95" t="str">
        <f t="shared" si="1"/>
        <v/>
      </c>
    </row>
    <row r="938" ht="15.75" customHeight="1">
      <c r="N938" s="99"/>
      <c r="O938" s="99"/>
      <c r="P938" s="99"/>
      <c r="Q938" s="99"/>
      <c r="R938" s="99"/>
      <c r="S938" s="99"/>
      <c r="T938" s="99"/>
      <c r="U938" s="99"/>
      <c r="V938" s="99"/>
      <c r="W938" s="99"/>
      <c r="X938" s="99"/>
      <c r="Y938" s="99"/>
      <c r="Z938" s="99"/>
      <c r="AA938" s="99"/>
      <c r="AB938" s="99"/>
      <c r="AC938" s="95" t="str">
        <f t="shared" si="1"/>
        <v/>
      </c>
    </row>
    <row r="939" ht="15.75" customHeight="1">
      <c r="N939" s="99"/>
      <c r="O939" s="99"/>
      <c r="P939" s="99"/>
      <c r="Q939" s="99"/>
      <c r="R939" s="99"/>
      <c r="S939" s="99"/>
      <c r="T939" s="99"/>
      <c r="U939" s="99"/>
      <c r="V939" s="99"/>
      <c r="W939" s="99"/>
      <c r="X939" s="99"/>
      <c r="Y939" s="99"/>
      <c r="Z939" s="99"/>
      <c r="AA939" s="99"/>
      <c r="AB939" s="99"/>
      <c r="AC939" s="95" t="str">
        <f t="shared" si="1"/>
        <v/>
      </c>
    </row>
    <row r="940" ht="15.75" customHeight="1">
      <c r="N940" s="99"/>
      <c r="O940" s="99"/>
      <c r="P940" s="99"/>
      <c r="Q940" s="99"/>
      <c r="R940" s="99"/>
      <c r="S940" s="99"/>
      <c r="T940" s="99"/>
      <c r="U940" s="99"/>
      <c r="V940" s="99"/>
      <c r="W940" s="99"/>
      <c r="X940" s="99"/>
      <c r="Y940" s="99"/>
      <c r="Z940" s="99"/>
      <c r="AA940" s="99"/>
      <c r="AB940" s="99"/>
      <c r="AC940" s="95" t="str">
        <f t="shared" si="1"/>
        <v/>
      </c>
    </row>
    <row r="941" ht="15.75" customHeight="1">
      <c r="N941" s="99"/>
      <c r="O941" s="99"/>
      <c r="P941" s="99"/>
      <c r="Q941" s="99"/>
      <c r="R941" s="99"/>
      <c r="S941" s="99"/>
      <c r="T941" s="99"/>
      <c r="U941" s="99"/>
      <c r="V941" s="99"/>
      <c r="W941" s="99"/>
      <c r="X941" s="99"/>
      <c r="Y941" s="99"/>
      <c r="Z941" s="99"/>
      <c r="AA941" s="99"/>
      <c r="AB941" s="99"/>
      <c r="AC941" s="95" t="str">
        <f t="shared" si="1"/>
        <v/>
      </c>
    </row>
    <row r="942" ht="15.75" customHeight="1">
      <c r="N942" s="99"/>
      <c r="O942" s="99"/>
      <c r="P942" s="99"/>
      <c r="Q942" s="99"/>
      <c r="R942" s="99"/>
      <c r="S942" s="99"/>
      <c r="T942" s="99"/>
      <c r="U942" s="99"/>
      <c r="V942" s="99"/>
      <c r="W942" s="99"/>
      <c r="X942" s="99"/>
      <c r="Y942" s="99"/>
      <c r="Z942" s="99"/>
      <c r="AA942" s="99"/>
      <c r="AB942" s="99"/>
      <c r="AC942" s="95" t="str">
        <f t="shared" si="1"/>
        <v/>
      </c>
    </row>
    <row r="943" ht="15.75" customHeight="1">
      <c r="N943" s="99"/>
      <c r="O943" s="99"/>
      <c r="P943" s="99"/>
      <c r="Q943" s="99"/>
      <c r="R943" s="99"/>
      <c r="S943" s="99"/>
      <c r="T943" s="99"/>
      <c r="U943" s="99"/>
      <c r="V943" s="99"/>
      <c r="W943" s="99"/>
      <c r="X943" s="99"/>
      <c r="Y943" s="99"/>
      <c r="Z943" s="99"/>
      <c r="AA943" s="99"/>
      <c r="AB943" s="99"/>
      <c r="AC943" s="95" t="str">
        <f t="shared" si="1"/>
        <v/>
      </c>
    </row>
    <row r="944" ht="15.75" customHeight="1">
      <c r="N944" s="99"/>
      <c r="O944" s="99"/>
      <c r="P944" s="99"/>
      <c r="Q944" s="99"/>
      <c r="R944" s="99"/>
      <c r="S944" s="99"/>
      <c r="T944" s="99"/>
      <c r="U944" s="99"/>
      <c r="V944" s="99"/>
      <c r="W944" s="99"/>
      <c r="X944" s="99"/>
      <c r="Y944" s="99"/>
      <c r="Z944" s="99"/>
      <c r="AA944" s="99"/>
      <c r="AB944" s="99"/>
      <c r="AC944" s="95" t="str">
        <f t="shared" si="1"/>
        <v/>
      </c>
    </row>
    <row r="945" ht="15.75" customHeight="1">
      <c r="N945" s="99"/>
      <c r="O945" s="99"/>
      <c r="P945" s="99"/>
      <c r="Q945" s="99"/>
      <c r="R945" s="99"/>
      <c r="S945" s="99"/>
      <c r="T945" s="99"/>
      <c r="U945" s="99"/>
      <c r="V945" s="99"/>
      <c r="W945" s="99"/>
      <c r="X945" s="99"/>
      <c r="Y945" s="99"/>
      <c r="Z945" s="99"/>
      <c r="AA945" s="99"/>
      <c r="AB945" s="99"/>
      <c r="AC945" s="95" t="str">
        <f t="shared" si="1"/>
        <v/>
      </c>
    </row>
    <row r="946" ht="15.75" customHeight="1">
      <c r="N946" s="99"/>
      <c r="O946" s="99"/>
      <c r="P946" s="99"/>
      <c r="Q946" s="99"/>
      <c r="R946" s="99"/>
      <c r="S946" s="99"/>
      <c r="T946" s="99"/>
      <c r="U946" s="99"/>
      <c r="V946" s="99"/>
      <c r="W946" s="99"/>
      <c r="X946" s="99"/>
      <c r="Y946" s="99"/>
      <c r="Z946" s="99"/>
      <c r="AA946" s="99"/>
      <c r="AB946" s="99"/>
      <c r="AC946" s="95" t="str">
        <f t="shared" si="1"/>
        <v/>
      </c>
    </row>
    <row r="947" ht="15.75" customHeight="1">
      <c r="N947" s="99"/>
      <c r="O947" s="99"/>
      <c r="P947" s="99"/>
      <c r="Q947" s="99"/>
      <c r="R947" s="99"/>
      <c r="S947" s="99"/>
      <c r="T947" s="99"/>
      <c r="U947" s="99"/>
      <c r="V947" s="99"/>
      <c r="W947" s="99"/>
      <c r="X947" s="99"/>
      <c r="Y947" s="99"/>
      <c r="Z947" s="99"/>
      <c r="AA947" s="99"/>
      <c r="AB947" s="99"/>
      <c r="AC947" s="95" t="str">
        <f t="shared" si="1"/>
        <v/>
      </c>
    </row>
    <row r="948" ht="15.75" customHeight="1">
      <c r="N948" s="99"/>
      <c r="O948" s="99"/>
      <c r="P948" s="99"/>
      <c r="Q948" s="99"/>
      <c r="R948" s="99"/>
      <c r="S948" s="99"/>
      <c r="T948" s="99"/>
      <c r="U948" s="99"/>
      <c r="V948" s="99"/>
      <c r="W948" s="99"/>
      <c r="X948" s="99"/>
      <c r="Y948" s="99"/>
      <c r="Z948" s="99"/>
      <c r="AA948" s="99"/>
      <c r="AB948" s="99"/>
      <c r="AC948" s="95" t="str">
        <f t="shared" si="1"/>
        <v/>
      </c>
    </row>
    <row r="949" ht="15.75" customHeight="1">
      <c r="N949" s="99"/>
      <c r="O949" s="99"/>
      <c r="P949" s="99"/>
      <c r="Q949" s="99"/>
      <c r="R949" s="99"/>
      <c r="S949" s="99"/>
      <c r="T949" s="99"/>
      <c r="U949" s="99"/>
      <c r="V949" s="99"/>
      <c r="W949" s="99"/>
      <c r="X949" s="99"/>
      <c r="Y949" s="99"/>
      <c r="Z949" s="99"/>
      <c r="AA949" s="99"/>
      <c r="AB949" s="99"/>
      <c r="AC949" s="95" t="str">
        <f t="shared" si="1"/>
        <v/>
      </c>
    </row>
    <row r="950" ht="15.75" customHeight="1">
      <c r="N950" s="99"/>
      <c r="O950" s="99"/>
      <c r="P950" s="99"/>
      <c r="Q950" s="99"/>
      <c r="R950" s="99"/>
      <c r="S950" s="99"/>
      <c r="T950" s="99"/>
      <c r="U950" s="99"/>
      <c r="V950" s="99"/>
      <c r="W950" s="99"/>
      <c r="X950" s="99"/>
      <c r="Y950" s="99"/>
      <c r="Z950" s="99"/>
      <c r="AA950" s="99"/>
      <c r="AB950" s="99"/>
      <c r="AC950" s="95" t="str">
        <f t="shared" si="1"/>
        <v/>
      </c>
    </row>
    <row r="951" ht="15.75" customHeight="1">
      <c r="N951" s="99"/>
      <c r="O951" s="99"/>
      <c r="P951" s="99"/>
      <c r="Q951" s="99"/>
      <c r="R951" s="99"/>
      <c r="S951" s="99"/>
      <c r="T951" s="99"/>
      <c r="U951" s="99"/>
      <c r="V951" s="99"/>
      <c r="W951" s="99"/>
      <c r="X951" s="99"/>
      <c r="Y951" s="99"/>
      <c r="Z951" s="99"/>
      <c r="AA951" s="99"/>
      <c r="AB951" s="99"/>
      <c r="AC951" s="95" t="str">
        <f t="shared" si="1"/>
        <v/>
      </c>
    </row>
    <row r="952" ht="15.75" customHeight="1">
      <c r="N952" s="99"/>
      <c r="O952" s="99"/>
      <c r="P952" s="99"/>
      <c r="Q952" s="99"/>
      <c r="R952" s="99"/>
      <c r="S952" s="99"/>
      <c r="T952" s="99"/>
      <c r="U952" s="99"/>
      <c r="V952" s="99"/>
      <c r="W952" s="99"/>
      <c r="X952" s="99"/>
      <c r="Y952" s="99"/>
      <c r="Z952" s="99"/>
      <c r="AA952" s="99"/>
      <c r="AB952" s="99"/>
      <c r="AC952" s="95" t="str">
        <f t="shared" si="1"/>
        <v/>
      </c>
    </row>
    <row r="953" ht="15.75" customHeight="1">
      <c r="N953" s="99"/>
      <c r="O953" s="99"/>
      <c r="P953" s="99"/>
      <c r="Q953" s="99"/>
      <c r="R953" s="99"/>
      <c r="S953" s="99"/>
      <c r="T953" s="99"/>
      <c r="U953" s="99"/>
      <c r="V953" s="99"/>
      <c r="W953" s="99"/>
      <c r="X953" s="99"/>
      <c r="Y953" s="99"/>
      <c r="Z953" s="99"/>
      <c r="AA953" s="99"/>
      <c r="AB953" s="99"/>
      <c r="AC953" s="95" t="str">
        <f t="shared" si="1"/>
        <v/>
      </c>
    </row>
    <row r="954" ht="15.75" customHeight="1">
      <c r="N954" s="99"/>
      <c r="O954" s="99"/>
      <c r="P954" s="99"/>
      <c r="Q954" s="99"/>
      <c r="R954" s="99"/>
      <c r="S954" s="99"/>
      <c r="T954" s="99"/>
      <c r="U954" s="99"/>
      <c r="V954" s="99"/>
      <c r="W954" s="99"/>
      <c r="X954" s="99"/>
      <c r="Y954" s="99"/>
      <c r="Z954" s="99"/>
      <c r="AA954" s="99"/>
      <c r="AB954" s="99"/>
      <c r="AC954" s="95" t="str">
        <f t="shared" si="1"/>
        <v/>
      </c>
    </row>
    <row r="955" ht="15.75" customHeight="1">
      <c r="N955" s="99"/>
      <c r="O955" s="99"/>
      <c r="P955" s="99"/>
      <c r="Q955" s="99"/>
      <c r="R955" s="99"/>
      <c r="S955" s="99"/>
      <c r="T955" s="99"/>
      <c r="U955" s="99"/>
      <c r="V955" s="99"/>
      <c r="W955" s="99"/>
      <c r="X955" s="99"/>
      <c r="Y955" s="99"/>
      <c r="Z955" s="99"/>
      <c r="AA955" s="99"/>
      <c r="AB955" s="99"/>
      <c r="AC955" s="95" t="str">
        <f t="shared" si="1"/>
        <v/>
      </c>
    </row>
    <row r="956" ht="15.75" customHeight="1">
      <c r="N956" s="99"/>
      <c r="O956" s="99"/>
      <c r="P956" s="99"/>
      <c r="Q956" s="99"/>
      <c r="R956" s="99"/>
      <c r="S956" s="99"/>
      <c r="T956" s="99"/>
      <c r="U956" s="99"/>
      <c r="V956" s="99"/>
      <c r="W956" s="99"/>
      <c r="X956" s="99"/>
      <c r="Y956" s="99"/>
      <c r="Z956" s="99"/>
      <c r="AA956" s="99"/>
      <c r="AB956" s="99"/>
      <c r="AC956" s="95" t="str">
        <f t="shared" si="1"/>
        <v/>
      </c>
    </row>
    <row r="957" ht="15.75" customHeight="1">
      <c r="N957" s="99"/>
      <c r="O957" s="99"/>
      <c r="P957" s="99"/>
      <c r="Q957" s="99"/>
      <c r="R957" s="99"/>
      <c r="S957" s="99"/>
      <c r="T957" s="99"/>
      <c r="U957" s="99"/>
      <c r="V957" s="99"/>
      <c r="W957" s="99"/>
      <c r="X957" s="99"/>
      <c r="Y957" s="99"/>
      <c r="Z957" s="99"/>
      <c r="AA957" s="99"/>
      <c r="AB957" s="99"/>
      <c r="AC957" s="95" t="str">
        <f t="shared" si="1"/>
        <v/>
      </c>
    </row>
    <row r="958" ht="15.75" customHeight="1">
      <c r="N958" s="99"/>
      <c r="O958" s="99"/>
      <c r="P958" s="99"/>
      <c r="Q958" s="99"/>
      <c r="R958" s="99"/>
      <c r="S958" s="99"/>
      <c r="T958" s="99"/>
      <c r="U958" s="99"/>
      <c r="V958" s="99"/>
      <c r="W958" s="99"/>
      <c r="X958" s="99"/>
      <c r="Y958" s="99"/>
      <c r="Z958" s="99"/>
      <c r="AA958" s="99"/>
      <c r="AB958" s="99"/>
      <c r="AC958" s="95" t="str">
        <f t="shared" si="1"/>
        <v/>
      </c>
    </row>
    <row r="959" ht="15.75" customHeight="1">
      <c r="N959" s="99"/>
      <c r="O959" s="99"/>
      <c r="P959" s="99"/>
      <c r="Q959" s="99"/>
      <c r="R959" s="99"/>
      <c r="S959" s="99"/>
      <c r="T959" s="99"/>
      <c r="U959" s="99"/>
      <c r="V959" s="99"/>
      <c r="W959" s="99"/>
      <c r="X959" s="99"/>
      <c r="Y959" s="99"/>
      <c r="Z959" s="99"/>
      <c r="AA959" s="99"/>
      <c r="AB959" s="99"/>
      <c r="AC959" s="95" t="str">
        <f t="shared" si="1"/>
        <v/>
      </c>
    </row>
    <row r="960" ht="15.75" customHeight="1">
      <c r="N960" s="99"/>
      <c r="O960" s="99"/>
      <c r="P960" s="99"/>
      <c r="Q960" s="99"/>
      <c r="R960" s="99"/>
      <c r="S960" s="99"/>
      <c r="T960" s="99"/>
      <c r="U960" s="99"/>
      <c r="V960" s="99"/>
      <c r="W960" s="99"/>
      <c r="X960" s="99"/>
      <c r="Y960" s="99"/>
      <c r="Z960" s="99"/>
      <c r="AA960" s="99"/>
      <c r="AB960" s="99"/>
      <c r="AC960" s="95" t="str">
        <f t="shared" si="1"/>
        <v/>
      </c>
    </row>
    <row r="961" ht="15.75" customHeight="1">
      <c r="N961" s="99"/>
      <c r="O961" s="99"/>
      <c r="P961" s="99"/>
      <c r="Q961" s="99"/>
      <c r="R961" s="99"/>
      <c r="S961" s="99"/>
      <c r="T961" s="99"/>
      <c r="U961" s="99"/>
      <c r="V961" s="99"/>
      <c r="W961" s="99"/>
      <c r="X961" s="99"/>
      <c r="Y961" s="99"/>
      <c r="Z961" s="99"/>
      <c r="AA961" s="99"/>
      <c r="AB961" s="99"/>
      <c r="AC961" s="95" t="str">
        <f t="shared" si="1"/>
        <v/>
      </c>
    </row>
    <row r="962" ht="15.75" customHeight="1">
      <c r="N962" s="99"/>
      <c r="O962" s="99"/>
      <c r="P962" s="99"/>
      <c r="Q962" s="99"/>
      <c r="R962" s="99"/>
      <c r="S962" s="99"/>
      <c r="T962" s="99"/>
      <c r="U962" s="99"/>
      <c r="V962" s="99"/>
      <c r="W962" s="99"/>
      <c r="X962" s="99"/>
      <c r="Y962" s="99"/>
      <c r="Z962" s="99"/>
      <c r="AA962" s="99"/>
      <c r="AB962" s="99"/>
      <c r="AC962" s="95" t="str">
        <f t="shared" si="1"/>
        <v/>
      </c>
    </row>
    <row r="963" ht="15.75" customHeight="1">
      <c r="N963" s="99"/>
      <c r="O963" s="99"/>
      <c r="P963" s="99"/>
      <c r="Q963" s="99"/>
      <c r="R963" s="99"/>
      <c r="S963" s="99"/>
      <c r="T963" s="99"/>
      <c r="U963" s="99"/>
      <c r="V963" s="99"/>
      <c r="W963" s="99"/>
      <c r="X963" s="99"/>
      <c r="Y963" s="99"/>
      <c r="Z963" s="99"/>
      <c r="AA963" s="99"/>
      <c r="AB963" s="99"/>
      <c r="AC963" s="95" t="str">
        <f t="shared" si="1"/>
        <v/>
      </c>
    </row>
    <row r="964" ht="15.75" customHeight="1">
      <c r="N964" s="99"/>
      <c r="O964" s="99"/>
      <c r="P964" s="99"/>
      <c r="Q964" s="99"/>
      <c r="R964" s="99"/>
      <c r="S964" s="99"/>
      <c r="T964" s="99"/>
      <c r="U964" s="99"/>
      <c r="V964" s="99"/>
      <c r="W964" s="99"/>
      <c r="X964" s="99"/>
      <c r="Y964" s="99"/>
      <c r="Z964" s="99"/>
      <c r="AA964" s="99"/>
      <c r="AB964" s="99"/>
      <c r="AC964" s="95" t="str">
        <f t="shared" si="1"/>
        <v/>
      </c>
    </row>
    <row r="965" ht="15.75" customHeight="1">
      <c r="N965" s="99"/>
      <c r="O965" s="99"/>
      <c r="P965" s="99"/>
      <c r="Q965" s="99"/>
      <c r="R965" s="99"/>
      <c r="S965" s="99"/>
      <c r="T965" s="99"/>
      <c r="U965" s="99"/>
      <c r="V965" s="99"/>
      <c r="W965" s="99"/>
      <c r="X965" s="99"/>
      <c r="Y965" s="99"/>
      <c r="Z965" s="99"/>
      <c r="AA965" s="99"/>
      <c r="AB965" s="99"/>
      <c r="AC965" s="95" t="str">
        <f t="shared" si="1"/>
        <v/>
      </c>
    </row>
    <row r="966" ht="15.75" customHeight="1">
      <c r="N966" s="99"/>
      <c r="O966" s="99"/>
      <c r="P966" s="99"/>
      <c r="Q966" s="99"/>
      <c r="R966" s="99"/>
      <c r="S966" s="99"/>
      <c r="T966" s="99"/>
      <c r="U966" s="99"/>
      <c r="V966" s="99"/>
      <c r="W966" s="99"/>
      <c r="X966" s="99"/>
      <c r="Y966" s="99"/>
      <c r="Z966" s="99"/>
      <c r="AA966" s="99"/>
      <c r="AB966" s="99"/>
      <c r="AC966" s="95" t="str">
        <f t="shared" si="1"/>
        <v/>
      </c>
    </row>
    <row r="967" ht="15.75" customHeight="1">
      <c r="N967" s="99"/>
      <c r="O967" s="99"/>
      <c r="P967" s="99"/>
      <c r="Q967" s="99"/>
      <c r="R967" s="99"/>
      <c r="S967" s="99"/>
      <c r="T967" s="99"/>
      <c r="U967" s="99"/>
      <c r="V967" s="99"/>
      <c r="W967" s="99"/>
      <c r="X967" s="99"/>
      <c r="Y967" s="99"/>
      <c r="Z967" s="99"/>
      <c r="AA967" s="99"/>
      <c r="AB967" s="99"/>
      <c r="AC967" s="95" t="str">
        <f t="shared" si="1"/>
        <v/>
      </c>
    </row>
    <row r="968" ht="15.75" customHeight="1">
      <c r="N968" s="99"/>
      <c r="O968" s="99"/>
      <c r="P968" s="99"/>
      <c r="Q968" s="99"/>
      <c r="R968" s="99"/>
      <c r="S968" s="99"/>
      <c r="T968" s="99"/>
      <c r="U968" s="99"/>
      <c r="V968" s="99"/>
      <c r="W968" s="99"/>
      <c r="X968" s="99"/>
      <c r="Y968" s="99"/>
      <c r="Z968" s="99"/>
      <c r="AA968" s="99"/>
      <c r="AB968" s="99"/>
      <c r="AC968" s="95" t="str">
        <f t="shared" si="1"/>
        <v/>
      </c>
    </row>
    <row r="969" ht="15.75" customHeight="1">
      <c r="N969" s="99"/>
      <c r="O969" s="99"/>
      <c r="P969" s="99"/>
      <c r="Q969" s="99"/>
      <c r="R969" s="99"/>
      <c r="S969" s="99"/>
      <c r="T969" s="99"/>
      <c r="U969" s="99"/>
      <c r="V969" s="99"/>
      <c r="W969" s="99"/>
      <c r="X969" s="99"/>
      <c r="Y969" s="99"/>
      <c r="Z969" s="99"/>
      <c r="AA969" s="99"/>
      <c r="AB969" s="99"/>
      <c r="AC969" s="95" t="str">
        <f t="shared" si="1"/>
        <v/>
      </c>
    </row>
    <row r="970" ht="15.75" customHeight="1">
      <c r="N970" s="99"/>
      <c r="O970" s="99"/>
      <c r="P970" s="99"/>
      <c r="Q970" s="99"/>
      <c r="R970" s="99"/>
      <c r="S970" s="99"/>
      <c r="T970" s="99"/>
      <c r="U970" s="99"/>
      <c r="V970" s="99"/>
      <c r="W970" s="99"/>
      <c r="X970" s="99"/>
      <c r="Y970" s="99"/>
      <c r="Z970" s="99"/>
      <c r="AA970" s="99"/>
      <c r="AB970" s="99"/>
      <c r="AC970" s="95" t="str">
        <f t="shared" si="1"/>
        <v/>
      </c>
    </row>
    <row r="971" ht="15.75" customHeight="1">
      <c r="N971" s="99"/>
      <c r="O971" s="99"/>
      <c r="P971" s="99"/>
      <c r="Q971" s="99"/>
      <c r="R971" s="99"/>
      <c r="S971" s="99"/>
      <c r="T971" s="99"/>
      <c r="U971" s="99"/>
      <c r="V971" s="99"/>
      <c r="W971" s="99"/>
      <c r="X971" s="99"/>
      <c r="Y971" s="99"/>
      <c r="Z971" s="99"/>
      <c r="AA971" s="99"/>
      <c r="AB971" s="99"/>
      <c r="AC971" s="95" t="str">
        <f t="shared" si="1"/>
        <v/>
      </c>
    </row>
    <row r="972" ht="15.75" customHeight="1">
      <c r="N972" s="99"/>
      <c r="O972" s="99"/>
      <c r="P972" s="99"/>
      <c r="Q972" s="99"/>
      <c r="R972" s="99"/>
      <c r="S972" s="99"/>
      <c r="T972" s="99"/>
      <c r="U972" s="99"/>
      <c r="V972" s="99"/>
      <c r="W972" s="99"/>
      <c r="X972" s="99"/>
      <c r="Y972" s="99"/>
      <c r="Z972" s="99"/>
      <c r="AA972" s="99"/>
      <c r="AB972" s="99"/>
      <c r="AC972" s="95" t="str">
        <f t="shared" si="1"/>
        <v/>
      </c>
    </row>
    <row r="973" ht="15.75" customHeight="1">
      <c r="N973" s="99"/>
      <c r="O973" s="99"/>
      <c r="P973" s="99"/>
      <c r="Q973" s="99"/>
      <c r="R973" s="99"/>
      <c r="S973" s="99"/>
      <c r="T973" s="99"/>
      <c r="U973" s="99"/>
      <c r="V973" s="99"/>
      <c r="W973" s="99"/>
      <c r="X973" s="99"/>
      <c r="Y973" s="99"/>
      <c r="Z973" s="99"/>
      <c r="AA973" s="99"/>
      <c r="AB973" s="99"/>
      <c r="AC973" s="95" t="str">
        <f t="shared" si="1"/>
        <v/>
      </c>
    </row>
    <row r="974" ht="15.75" customHeight="1">
      <c r="N974" s="99"/>
      <c r="O974" s="99"/>
      <c r="P974" s="99"/>
      <c r="Q974" s="99"/>
      <c r="R974" s="99"/>
      <c r="S974" s="99"/>
      <c r="T974" s="99"/>
      <c r="U974" s="99"/>
      <c r="V974" s="99"/>
      <c r="W974" s="99"/>
      <c r="X974" s="99"/>
      <c r="Y974" s="99"/>
      <c r="Z974" s="99"/>
      <c r="AA974" s="99"/>
      <c r="AB974" s="99"/>
      <c r="AC974" s="95" t="str">
        <f t="shared" si="1"/>
        <v/>
      </c>
    </row>
    <row r="975" ht="15.75" customHeight="1">
      <c r="N975" s="99"/>
      <c r="O975" s="99"/>
      <c r="P975" s="99"/>
      <c r="Q975" s="99"/>
      <c r="R975" s="99"/>
      <c r="S975" s="99"/>
      <c r="T975" s="99"/>
      <c r="U975" s="99"/>
      <c r="V975" s="99"/>
      <c r="W975" s="99"/>
      <c r="X975" s="99"/>
      <c r="Y975" s="99"/>
      <c r="Z975" s="99"/>
      <c r="AA975" s="99"/>
      <c r="AB975" s="99"/>
      <c r="AC975" s="95" t="str">
        <f t="shared" si="1"/>
        <v/>
      </c>
    </row>
    <row r="976" ht="15.75" customHeight="1">
      <c r="N976" s="99"/>
      <c r="O976" s="99"/>
      <c r="P976" s="99"/>
      <c r="Q976" s="99"/>
      <c r="R976" s="99"/>
      <c r="S976" s="99"/>
      <c r="T976" s="99"/>
      <c r="U976" s="99"/>
      <c r="V976" s="99"/>
      <c r="W976" s="99"/>
      <c r="X976" s="99"/>
      <c r="Y976" s="99"/>
      <c r="Z976" s="99"/>
      <c r="AA976" s="99"/>
      <c r="AB976" s="99"/>
      <c r="AC976" s="95" t="str">
        <f t="shared" si="1"/>
        <v/>
      </c>
    </row>
    <row r="977" ht="15.75" customHeight="1">
      <c r="N977" s="99"/>
      <c r="O977" s="99"/>
      <c r="P977" s="99"/>
      <c r="Q977" s="99"/>
      <c r="R977" s="99"/>
      <c r="S977" s="99"/>
      <c r="T977" s="99"/>
      <c r="U977" s="99"/>
      <c r="V977" s="99"/>
      <c r="W977" s="99"/>
      <c r="X977" s="99"/>
      <c r="Y977" s="99"/>
      <c r="Z977" s="99"/>
      <c r="AA977" s="99"/>
      <c r="AB977" s="99"/>
      <c r="AC977" s="95" t="str">
        <f t="shared" si="1"/>
        <v/>
      </c>
    </row>
    <row r="978" ht="15.75" customHeight="1">
      <c r="N978" s="99"/>
      <c r="O978" s="99"/>
      <c r="P978" s="99"/>
      <c r="Q978" s="99"/>
      <c r="R978" s="99"/>
      <c r="S978" s="99"/>
      <c r="T978" s="99"/>
      <c r="U978" s="99"/>
      <c r="V978" s="99"/>
      <c r="W978" s="99"/>
      <c r="X978" s="99"/>
      <c r="Y978" s="99"/>
      <c r="Z978" s="99"/>
      <c r="AA978" s="99"/>
      <c r="AB978" s="99"/>
      <c r="AC978" s="95" t="str">
        <f t="shared" si="1"/>
        <v/>
      </c>
    </row>
    <row r="979" ht="15.75" customHeight="1">
      <c r="N979" s="99"/>
      <c r="O979" s="99"/>
      <c r="P979" s="99"/>
      <c r="Q979" s="99"/>
      <c r="R979" s="99"/>
      <c r="S979" s="99"/>
      <c r="T979" s="99"/>
      <c r="U979" s="99"/>
      <c r="V979" s="99"/>
      <c r="W979" s="99"/>
      <c r="X979" s="99"/>
      <c r="Y979" s="99"/>
      <c r="Z979" s="99"/>
      <c r="AA979" s="99"/>
      <c r="AB979" s="99"/>
      <c r="AC979" s="95" t="str">
        <f t="shared" si="1"/>
        <v/>
      </c>
    </row>
    <row r="980" ht="15.75" customHeight="1">
      <c r="N980" s="99"/>
      <c r="O980" s="99"/>
      <c r="P980" s="99"/>
      <c r="Q980" s="99"/>
      <c r="R980" s="99"/>
      <c r="S980" s="99"/>
      <c r="T980" s="99"/>
      <c r="U980" s="99"/>
      <c r="V980" s="99"/>
      <c r="W980" s="99"/>
      <c r="X980" s="99"/>
      <c r="Y980" s="99"/>
      <c r="Z980" s="99"/>
      <c r="AA980" s="99"/>
      <c r="AB980" s="99"/>
      <c r="AC980" s="95" t="str">
        <f t="shared" si="1"/>
        <v/>
      </c>
    </row>
    <row r="981" ht="15.75" customHeight="1">
      <c r="N981" s="99"/>
      <c r="O981" s="99"/>
      <c r="P981" s="99"/>
      <c r="Q981" s="99"/>
      <c r="R981" s="99"/>
      <c r="S981" s="99"/>
      <c r="T981" s="99"/>
      <c r="U981" s="99"/>
      <c r="V981" s="99"/>
      <c r="W981" s="99"/>
      <c r="X981" s="99"/>
      <c r="Y981" s="99"/>
      <c r="Z981" s="99"/>
      <c r="AA981" s="99"/>
      <c r="AB981" s="99"/>
      <c r="AC981" s="95" t="str">
        <f t="shared" si="1"/>
        <v/>
      </c>
    </row>
    <row r="982" ht="15.75" customHeight="1">
      <c r="N982" s="99"/>
      <c r="O982" s="99"/>
      <c r="P982" s="99"/>
      <c r="Q982" s="99"/>
      <c r="R982" s="99"/>
      <c r="S982" s="99"/>
      <c r="T982" s="99"/>
      <c r="U982" s="99"/>
      <c r="V982" s="99"/>
      <c r="W982" s="99"/>
      <c r="X982" s="99"/>
      <c r="Y982" s="99"/>
      <c r="Z982" s="99"/>
      <c r="AA982" s="99"/>
      <c r="AB982" s="99"/>
      <c r="AC982" s="95" t="str">
        <f t="shared" si="1"/>
        <v/>
      </c>
    </row>
    <row r="983" ht="15.75" customHeight="1">
      <c r="N983" s="99"/>
      <c r="O983" s="99"/>
      <c r="P983" s="99"/>
      <c r="Q983" s="99"/>
      <c r="R983" s="99"/>
      <c r="S983" s="99"/>
      <c r="T983" s="99"/>
      <c r="U983" s="99"/>
      <c r="V983" s="99"/>
      <c r="W983" s="99"/>
      <c r="X983" s="99"/>
      <c r="Y983" s="99"/>
      <c r="Z983" s="99"/>
      <c r="AA983" s="99"/>
      <c r="AB983" s="99"/>
      <c r="AC983" s="95" t="str">
        <f t="shared" si="1"/>
        <v/>
      </c>
    </row>
    <row r="984" ht="15.75" customHeight="1">
      <c r="N984" s="99"/>
      <c r="O984" s="99"/>
      <c r="P984" s="99"/>
      <c r="Q984" s="99"/>
      <c r="R984" s="99"/>
      <c r="S984" s="99"/>
      <c r="T984" s="99"/>
      <c r="U984" s="99"/>
      <c r="V984" s="99"/>
      <c r="W984" s="99"/>
      <c r="X984" s="99"/>
      <c r="Y984" s="99"/>
      <c r="Z984" s="99"/>
      <c r="AA984" s="99"/>
      <c r="AB984" s="99"/>
      <c r="AC984" s="95" t="str">
        <f t="shared" si="1"/>
        <v/>
      </c>
    </row>
    <row r="985" ht="15.75" customHeight="1">
      <c r="N985" s="99"/>
      <c r="O985" s="99"/>
      <c r="P985" s="99"/>
      <c r="Q985" s="99"/>
      <c r="R985" s="99"/>
      <c r="S985" s="99"/>
      <c r="T985" s="99"/>
      <c r="U985" s="99"/>
      <c r="V985" s="99"/>
      <c r="W985" s="99"/>
      <c r="X985" s="99"/>
      <c r="Y985" s="99"/>
      <c r="Z985" s="99"/>
      <c r="AA985" s="99"/>
      <c r="AB985" s="99"/>
      <c r="AC985" s="95" t="str">
        <f t="shared" si="1"/>
        <v/>
      </c>
    </row>
    <row r="986" ht="15.75" customHeight="1">
      <c r="N986" s="99"/>
      <c r="O986" s="99"/>
      <c r="P986" s="99"/>
      <c r="Q986" s="99"/>
      <c r="R986" s="99"/>
      <c r="S986" s="99"/>
      <c r="T986" s="99"/>
      <c r="U986" s="99"/>
      <c r="V986" s="99"/>
      <c r="W986" s="99"/>
      <c r="X986" s="99"/>
      <c r="Y986" s="99"/>
      <c r="Z986" s="99"/>
      <c r="AA986" s="99"/>
      <c r="AB986" s="99"/>
      <c r="AC986" s="95" t="str">
        <f t="shared" si="1"/>
        <v/>
      </c>
    </row>
    <row r="987" ht="15.75" customHeight="1">
      <c r="N987" s="99"/>
      <c r="O987" s="99"/>
      <c r="P987" s="99"/>
      <c r="Q987" s="99"/>
      <c r="R987" s="99"/>
      <c r="S987" s="99"/>
      <c r="T987" s="99"/>
      <c r="U987" s="99"/>
      <c r="V987" s="99"/>
      <c r="W987" s="99"/>
      <c r="X987" s="99"/>
      <c r="Y987" s="99"/>
      <c r="Z987" s="99"/>
      <c r="AA987" s="99"/>
      <c r="AB987" s="99"/>
      <c r="AC987" s="95" t="str">
        <f t="shared" si="1"/>
        <v/>
      </c>
    </row>
    <row r="988" ht="15.75" customHeight="1">
      <c r="N988" s="99"/>
      <c r="O988" s="99"/>
      <c r="P988" s="99"/>
      <c r="Q988" s="99"/>
      <c r="R988" s="99"/>
      <c r="S988" s="99"/>
      <c r="T988" s="99"/>
      <c r="U988" s="99"/>
      <c r="V988" s="99"/>
      <c r="W988" s="99"/>
      <c r="X988" s="99"/>
      <c r="Y988" s="99"/>
      <c r="Z988" s="99"/>
      <c r="AA988" s="99"/>
      <c r="AB988" s="99"/>
      <c r="AC988" s="95" t="str">
        <f t="shared" si="1"/>
        <v/>
      </c>
    </row>
    <row r="989" ht="15.75" customHeight="1">
      <c r="N989" s="99"/>
      <c r="O989" s="99"/>
      <c r="P989" s="99"/>
      <c r="Q989" s="99"/>
      <c r="R989" s="99"/>
      <c r="S989" s="99"/>
      <c r="T989" s="99"/>
      <c r="U989" s="99"/>
      <c r="V989" s="99"/>
      <c r="W989" s="99"/>
      <c r="X989" s="99"/>
      <c r="Y989" s="99"/>
      <c r="Z989" s="99"/>
      <c r="AA989" s="99"/>
      <c r="AB989" s="99"/>
      <c r="AC989" s="95" t="str">
        <f t="shared" si="1"/>
        <v/>
      </c>
    </row>
    <row r="990" ht="15.75" customHeight="1">
      <c r="N990" s="99"/>
      <c r="O990" s="99"/>
      <c r="P990" s="99"/>
      <c r="Q990" s="99"/>
      <c r="R990" s="99"/>
      <c r="S990" s="99"/>
      <c r="T990" s="99"/>
      <c r="U990" s="99"/>
      <c r="V990" s="99"/>
      <c r="W990" s="99"/>
      <c r="X990" s="99"/>
      <c r="Y990" s="99"/>
      <c r="Z990" s="99"/>
      <c r="AA990" s="99"/>
      <c r="AB990" s="99"/>
      <c r="AC990" s="95" t="str">
        <f t="shared" si="1"/>
        <v/>
      </c>
    </row>
    <row r="991" ht="15.75" customHeight="1">
      <c r="N991" s="99"/>
      <c r="O991" s="99"/>
      <c r="P991" s="99"/>
      <c r="Q991" s="99"/>
      <c r="R991" s="99"/>
      <c r="S991" s="99"/>
      <c r="T991" s="99"/>
      <c r="U991" s="99"/>
      <c r="V991" s="99"/>
      <c r="W991" s="99"/>
      <c r="X991" s="99"/>
      <c r="Y991" s="99"/>
      <c r="Z991" s="99"/>
      <c r="AA991" s="99"/>
      <c r="AB991" s="99"/>
      <c r="AC991" s="95" t="str">
        <f t="shared" si="1"/>
        <v/>
      </c>
    </row>
    <row r="992" ht="15.75" customHeight="1">
      <c r="N992" s="99"/>
      <c r="O992" s="99"/>
      <c r="P992" s="99"/>
      <c r="Q992" s="99"/>
      <c r="R992" s="99"/>
      <c r="S992" s="99"/>
      <c r="T992" s="99"/>
      <c r="U992" s="99"/>
      <c r="V992" s="99"/>
      <c r="W992" s="99"/>
      <c r="X992" s="99"/>
      <c r="Y992" s="99"/>
      <c r="Z992" s="99"/>
      <c r="AA992" s="99"/>
      <c r="AB992" s="99"/>
      <c r="AC992" s="95" t="str">
        <f t="shared" si="1"/>
        <v/>
      </c>
    </row>
    <row r="993" ht="15.75" customHeight="1">
      <c r="N993" s="99"/>
      <c r="O993" s="99"/>
      <c r="P993" s="99"/>
      <c r="Q993" s="99"/>
      <c r="R993" s="99"/>
      <c r="S993" s="99"/>
      <c r="T993" s="99"/>
      <c r="U993" s="99"/>
      <c r="V993" s="99"/>
      <c r="W993" s="99"/>
      <c r="X993" s="99"/>
      <c r="Y993" s="99"/>
      <c r="Z993" s="99"/>
      <c r="AA993" s="99"/>
      <c r="AB993" s="99"/>
      <c r="AC993" s="95" t="str">
        <f t="shared" si="1"/>
        <v/>
      </c>
    </row>
    <row r="994" ht="15.75" customHeight="1">
      <c r="N994" s="99"/>
      <c r="O994" s="99"/>
      <c r="P994" s="99"/>
      <c r="Q994" s="99"/>
      <c r="R994" s="99"/>
      <c r="S994" s="99"/>
      <c r="T994" s="99"/>
      <c r="U994" s="99"/>
      <c r="V994" s="99"/>
      <c r="W994" s="99"/>
      <c r="X994" s="99"/>
      <c r="Y994" s="99"/>
      <c r="Z994" s="99"/>
      <c r="AA994" s="99"/>
      <c r="AB994" s="99"/>
      <c r="AC994" s="95" t="str">
        <f t="shared" si="1"/>
        <v/>
      </c>
    </row>
    <row r="995" ht="15.75" customHeight="1">
      <c r="N995" s="99"/>
      <c r="O995" s="99"/>
      <c r="P995" s="99"/>
      <c r="Q995" s="99"/>
      <c r="R995" s="99"/>
      <c r="S995" s="99"/>
      <c r="T995" s="99"/>
      <c r="U995" s="99"/>
      <c r="V995" s="99"/>
      <c r="W995" s="99"/>
      <c r="X995" s="99"/>
      <c r="Y995" s="99"/>
      <c r="Z995" s="99"/>
      <c r="AA995" s="99"/>
      <c r="AB995" s="99"/>
      <c r="AC995" s="95" t="str">
        <f t="shared" si="1"/>
        <v/>
      </c>
    </row>
    <row r="996" ht="15.75" customHeight="1">
      <c r="N996" s="99"/>
      <c r="O996" s="99"/>
      <c r="P996" s="99"/>
      <c r="Q996" s="99"/>
      <c r="R996" s="99"/>
      <c r="S996" s="99"/>
      <c r="T996" s="99"/>
      <c r="U996" s="99"/>
      <c r="V996" s="99"/>
      <c r="W996" s="99"/>
      <c r="X996" s="99"/>
      <c r="Y996" s="99"/>
      <c r="Z996" s="99"/>
      <c r="AA996" s="99"/>
      <c r="AB996" s="99"/>
      <c r="AC996" s="95" t="str">
        <f t="shared" si="1"/>
        <v/>
      </c>
    </row>
    <row r="997" ht="15.75" customHeight="1">
      <c r="N997" s="99"/>
      <c r="O997" s="99"/>
      <c r="P997" s="99"/>
      <c r="Q997" s="99"/>
      <c r="R997" s="99"/>
      <c r="S997" s="99"/>
      <c r="T997" s="99"/>
      <c r="U997" s="99"/>
      <c r="V997" s="99"/>
      <c r="W997" s="99"/>
      <c r="X997" s="99"/>
      <c r="Y997" s="99"/>
      <c r="Z997" s="99"/>
      <c r="AA997" s="99"/>
      <c r="AB997" s="99"/>
      <c r="AC997" s="95" t="str">
        <f t="shared" si="1"/>
        <v/>
      </c>
    </row>
    <row r="998" ht="15.75" customHeight="1">
      <c r="N998" s="99"/>
      <c r="O998" s="99"/>
      <c r="P998" s="99"/>
      <c r="Q998" s="99"/>
      <c r="R998" s="99"/>
      <c r="S998" s="99"/>
      <c r="T998" s="99"/>
      <c r="U998" s="99"/>
      <c r="V998" s="99"/>
      <c r="W998" s="99"/>
      <c r="X998" s="99"/>
      <c r="Y998" s="99"/>
      <c r="Z998" s="99"/>
      <c r="AA998" s="99"/>
      <c r="AB998" s="99"/>
      <c r="AC998" s="95" t="str">
        <f t="shared" si="1"/>
        <v/>
      </c>
    </row>
    <row r="999" ht="15.75" customHeight="1">
      <c r="N999" s="99"/>
      <c r="O999" s="99"/>
      <c r="P999" s="99"/>
      <c r="Q999" s="99"/>
      <c r="R999" s="99"/>
      <c r="S999" s="99"/>
      <c r="T999" s="99"/>
      <c r="U999" s="99"/>
      <c r="V999" s="99"/>
      <c r="W999" s="99"/>
      <c r="X999" s="99"/>
      <c r="Y999" s="99"/>
      <c r="Z999" s="99"/>
      <c r="AA999" s="99"/>
      <c r="AB999" s="99"/>
      <c r="AC999" s="95" t="str">
        <f t="shared" si="1"/>
        <v/>
      </c>
    </row>
    <row r="1000" ht="15.75" customHeight="1">
      <c r="N1000" s="99"/>
      <c r="O1000" s="99"/>
      <c r="P1000" s="99"/>
      <c r="Q1000" s="99"/>
      <c r="R1000" s="99"/>
      <c r="S1000" s="99"/>
      <c r="T1000" s="99"/>
      <c r="U1000" s="99"/>
      <c r="V1000" s="99"/>
      <c r="W1000" s="99"/>
      <c r="X1000" s="99"/>
      <c r="Y1000" s="99"/>
      <c r="Z1000" s="99"/>
      <c r="AA1000" s="99"/>
      <c r="AB1000" s="99"/>
      <c r="AC1000" s="95" t="str">
        <f t="shared" si="1"/>
        <v/>
      </c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8.0"/>
    <col customWidth="1" min="2" max="2" width="85.0"/>
    <col customWidth="1" min="3" max="26" width="8.71"/>
  </cols>
  <sheetData>
    <row r="1" ht="30.0" customHeight="1">
      <c r="A1" s="4" t="s">
        <v>2</v>
      </c>
      <c r="B1" s="6"/>
      <c r="C1" s="6"/>
      <c r="D1" s="6"/>
      <c r="E1" s="6"/>
      <c r="F1" s="6"/>
      <c r="G1" s="6"/>
      <c r="H1" s="6"/>
    </row>
    <row r="3">
      <c r="A3" s="9" t="s">
        <v>15</v>
      </c>
      <c r="B3" s="6"/>
      <c r="C3" s="6"/>
      <c r="D3" s="6"/>
      <c r="E3" s="6"/>
      <c r="F3" s="6"/>
      <c r="G3" s="6"/>
      <c r="H3" s="6"/>
    </row>
    <row r="5">
      <c r="A5" s="12" t="s">
        <v>26</v>
      </c>
      <c r="B5" s="13" t="s">
        <v>30</v>
      </c>
    </row>
    <row r="6">
      <c r="A6" s="14" t="s">
        <v>34</v>
      </c>
      <c r="B6" s="16" t="s">
        <v>38</v>
      </c>
    </row>
    <row r="7">
      <c r="A7" s="14" t="s">
        <v>43</v>
      </c>
      <c r="B7" s="16" t="s">
        <v>46</v>
      </c>
    </row>
    <row r="8">
      <c r="A8" s="14" t="s">
        <v>50</v>
      </c>
      <c r="B8" s="16" t="s">
        <v>53</v>
      </c>
    </row>
    <row r="9">
      <c r="A9" s="14" t="s">
        <v>55</v>
      </c>
      <c r="B9" s="16" t="s">
        <v>57</v>
      </c>
    </row>
    <row r="10">
      <c r="A10" s="14" t="s">
        <v>62</v>
      </c>
      <c r="B10" s="16" t="s">
        <v>65</v>
      </c>
    </row>
    <row r="11">
      <c r="B11" s="19"/>
    </row>
    <row r="12">
      <c r="A12" s="21" t="s">
        <v>71</v>
      </c>
      <c r="B12" s="23" t="s">
        <v>74</v>
      </c>
    </row>
    <row r="13">
      <c r="A13" s="25" t="s">
        <v>78</v>
      </c>
      <c r="B13" s="16" t="s">
        <v>84</v>
      </c>
    </row>
    <row r="14">
      <c r="A14" s="25" t="s">
        <v>86</v>
      </c>
      <c r="B14" s="30">
        <v>46231.625</v>
      </c>
    </row>
    <row r="15">
      <c r="A15" s="25" t="s">
        <v>91</v>
      </c>
      <c r="B15" s="16" t="s">
        <v>52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3:H3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8.0"/>
    <col customWidth="1" min="2" max="2" width="16.0"/>
    <col customWidth="1" min="3" max="3" width="48.0"/>
    <col customWidth="1" min="4" max="8" width="16.0"/>
    <col customWidth="1" min="9" max="9" width="20.0"/>
    <col customWidth="1" min="10" max="26" width="8.71"/>
  </cols>
  <sheetData>
    <row r="1">
      <c r="A1" s="57" t="s">
        <v>51</v>
      </c>
      <c r="B1" s="57" t="s">
        <v>153</v>
      </c>
      <c r="C1" s="57" t="s">
        <v>11</v>
      </c>
      <c r="D1" s="57" t="s">
        <v>154</v>
      </c>
      <c r="E1" s="57" t="s">
        <v>156</v>
      </c>
      <c r="F1" s="57" t="s">
        <v>159</v>
      </c>
      <c r="G1" s="57" t="s">
        <v>160</v>
      </c>
      <c r="H1" s="57" t="s">
        <v>161</v>
      </c>
      <c r="I1" s="57" t="s">
        <v>23</v>
      </c>
    </row>
    <row r="2">
      <c r="A2" s="59" t="s">
        <v>113</v>
      </c>
      <c r="B2" s="59" t="s">
        <v>95</v>
      </c>
      <c r="C2" s="59" t="s">
        <v>100</v>
      </c>
      <c r="D2" s="59">
        <f>COUNTIF('Planilha atualizada'!$U$2:$U$59,A2)</f>
        <v>2</v>
      </c>
      <c r="E2" s="60">
        <f>SUMIF('Planilha atualizada'!$U$2:$U$59,A2,'Planilha atualizada'!$AB$2:$AB$59)</f>
        <v>1</v>
      </c>
      <c r="F2" s="61">
        <f>IF(COUNTIF(BASE_TG!$AC$2:$AC$1000,A2)=1,SUMIF(BASE_TG!$AC$2:$AC$1000,A2,BASE_TG!$AB$2:$AB$1000),"")</f>
        <v>0</v>
      </c>
      <c r="G2" s="61">
        <f>SUMIF('Planilha atualizada'!$U$2:$U$59,A2,'Planilha atualizada'!$AF$2:$AF$59)</f>
        <v>0</v>
      </c>
      <c r="H2" s="61">
        <f t="shared" ref="H2:H36" si="1">IF(F2="","",F2-G2)</f>
        <v>0</v>
      </c>
      <c r="I2" s="59" t="str">
        <f>IF(COUNTIF(BASE_TG!$AC$2:$AC$1000,A2)=0,"NÃO LOCALIZADO",IF(COUNTIF(BASE_TG!$AC$2:$AC$1000,A2)=1,"ATUALIZADO","DUPLICADO"))</f>
        <v>ATUALIZADO</v>
      </c>
    </row>
    <row r="3">
      <c r="A3" s="59" t="s">
        <v>148</v>
      </c>
      <c r="B3" s="59" t="s">
        <v>139</v>
      </c>
      <c r="C3" s="59" t="s">
        <v>141</v>
      </c>
      <c r="D3" s="59">
        <f>COUNTIF('Planilha atualizada'!$U$2:$U$59,A3)</f>
        <v>2</v>
      </c>
      <c r="E3" s="60">
        <f>SUMIF('Planilha atualizada'!$U$2:$U$59,A3,'Planilha atualizada'!$AB$2:$AB$59)</f>
        <v>1</v>
      </c>
      <c r="F3" s="61">
        <f>IF(COUNTIF(BASE_TG!$AC$2:$AC$1000,A3)=1,SUMIF(BASE_TG!$AC$2:$AC$1000,A3,BASE_TG!$AB$2:$AB$1000),"")</f>
        <v>39221.85</v>
      </c>
      <c r="G3" s="61">
        <f>SUMIF('Planilha atualizada'!$U$2:$U$59,A3,'Planilha atualizada'!$AF$2:$AF$59)</f>
        <v>39221.85</v>
      </c>
      <c r="H3" s="61">
        <f t="shared" si="1"/>
        <v>0</v>
      </c>
      <c r="I3" s="59" t="str">
        <f>IF(COUNTIF(BASE_TG!$AC$2:$AC$1000,A3)=0,"NÃO LOCALIZADO",IF(COUNTIF(BASE_TG!$AC$2:$AC$1000,A3)=1,"ATUALIZADO","DUPLICADO"))</f>
        <v>ATUALIZADO</v>
      </c>
    </row>
    <row r="4">
      <c r="A4" s="59" t="s">
        <v>182</v>
      </c>
      <c r="B4" s="59" t="s">
        <v>174</v>
      </c>
      <c r="C4" s="59" t="s">
        <v>176</v>
      </c>
      <c r="D4" s="59">
        <f>COUNTIF('Planilha atualizada'!$U$2:$U$59,A4)</f>
        <v>1</v>
      </c>
      <c r="E4" s="60">
        <f>SUMIF('Planilha atualizada'!$U$2:$U$59,A4,'Planilha atualizada'!$AB$2:$AB$59)</f>
        <v>0</v>
      </c>
      <c r="F4" s="61">
        <f>IF(COUNTIF(BASE_TG!$AC$2:$AC$1000,A4)=1,SUMIF(BASE_TG!$AC$2:$AC$1000,A4,BASE_TG!$AB$2:$AB$1000),"")</f>
        <v>17658.16</v>
      </c>
      <c r="G4" s="61">
        <f>SUMIF('Planilha atualizada'!$U$2:$U$59,A4,'Planilha atualizada'!$AF$2:$AF$59)</f>
        <v>17658.16</v>
      </c>
      <c r="H4" s="61">
        <f t="shared" si="1"/>
        <v>0</v>
      </c>
      <c r="I4" s="59" t="str">
        <f>IF(COUNTIF(BASE_TG!$AC$2:$AC$1000,A4)=0,"NÃO LOCALIZADO",IF(COUNTIF(BASE_TG!$AC$2:$AC$1000,A4)=1,"ATUALIZADO","DUPLICADO"))</f>
        <v>ATUALIZADO</v>
      </c>
    </row>
    <row r="5">
      <c r="A5" s="59" t="s">
        <v>202</v>
      </c>
      <c r="B5" s="59" t="s">
        <v>196</v>
      </c>
      <c r="C5" s="59" t="s">
        <v>198</v>
      </c>
      <c r="D5" s="59">
        <f>COUNTIF('Planilha atualizada'!$U$2:$U$59,A5)</f>
        <v>1</v>
      </c>
      <c r="E5" s="60">
        <f>SUMIF('Planilha atualizada'!$U$2:$U$59,A5,'Planilha atualizada'!$AB$2:$AB$59)</f>
        <v>0</v>
      </c>
      <c r="F5" s="61">
        <f>IF(COUNTIF(BASE_TG!$AC$2:$AC$1000,A5)=1,SUMIF(BASE_TG!$AC$2:$AC$1000,A5,BASE_TG!$AB$2:$AB$1000),"")</f>
        <v>467.36</v>
      </c>
      <c r="G5" s="61">
        <f>SUMIF('Planilha atualizada'!$U$2:$U$59,A5,'Planilha atualizada'!$AF$2:$AF$59)</f>
        <v>467.36</v>
      </c>
      <c r="H5" s="61">
        <f t="shared" si="1"/>
        <v>0</v>
      </c>
      <c r="I5" s="59" t="str">
        <f>IF(COUNTIF(BASE_TG!$AC$2:$AC$1000,A5)=0,"NÃO LOCALIZADO",IF(COUNTIF(BASE_TG!$AC$2:$AC$1000,A5)=1,"ATUALIZADO","DUPLICADO"))</f>
        <v>ATUALIZADO</v>
      </c>
    </row>
    <row r="6">
      <c r="A6" s="59" t="s">
        <v>212</v>
      </c>
      <c r="B6" s="59" t="s">
        <v>213</v>
      </c>
      <c r="C6" s="59" t="s">
        <v>215</v>
      </c>
      <c r="D6" s="59">
        <f>COUNTIF('Planilha atualizada'!$U$2:$U$59,A6)</f>
        <v>1</v>
      </c>
      <c r="E6" s="60">
        <f>SUMIF('Planilha atualizada'!$U$2:$U$59,A6,'Planilha atualizada'!$AB$2:$AB$59)</f>
        <v>0</v>
      </c>
      <c r="F6" s="61">
        <f>IF(COUNTIF(BASE_TG!$AC$2:$AC$1000,A6)=1,SUMIF(BASE_TG!$AC$2:$AC$1000,A6,BASE_TG!$AB$2:$AB$1000),"")</f>
        <v>1007981.13</v>
      </c>
      <c r="G6" s="61">
        <f>SUMIF('Planilha atualizada'!$U$2:$U$59,A6,'Planilha atualizada'!$AF$2:$AF$59)</f>
        <v>1007981.13</v>
      </c>
      <c r="H6" s="61">
        <f t="shared" si="1"/>
        <v>0</v>
      </c>
      <c r="I6" s="59" t="str">
        <f>IF(COUNTIF(BASE_TG!$AC$2:$AC$1000,A6)=0,"NÃO LOCALIZADO",IF(COUNTIF(BASE_TG!$AC$2:$AC$1000,A6)=1,"ATUALIZADO","DUPLICADO"))</f>
        <v>ATUALIZADO</v>
      </c>
    </row>
    <row r="7">
      <c r="A7" s="59" t="s">
        <v>230</v>
      </c>
      <c r="B7" s="59" t="s">
        <v>213</v>
      </c>
      <c r="C7" s="59" t="s">
        <v>215</v>
      </c>
      <c r="D7" s="59">
        <f>COUNTIF('Planilha atualizada'!$U$2:$U$59,A7)</f>
        <v>1</v>
      </c>
      <c r="E7" s="60">
        <f>SUMIF('Planilha atualizada'!$U$2:$U$59,A7,'Planilha atualizada'!$AB$2:$AB$59)</f>
        <v>0</v>
      </c>
      <c r="F7" s="61">
        <f>IF(COUNTIF(BASE_TG!$AC$2:$AC$1000,A7)=1,SUMIF(BASE_TG!$AC$2:$AC$1000,A7,BASE_TG!$AB$2:$AB$1000),"")</f>
        <v>20107.03</v>
      </c>
      <c r="G7" s="61">
        <f>SUMIF('Planilha atualizada'!$U$2:$U$59,A7,'Planilha atualizada'!$AF$2:$AF$59)</f>
        <v>20107.03</v>
      </c>
      <c r="H7" s="61">
        <f t="shared" si="1"/>
        <v>0</v>
      </c>
      <c r="I7" s="59" t="str">
        <f>IF(COUNTIF(BASE_TG!$AC$2:$AC$1000,A7)=0,"NÃO LOCALIZADO",IF(COUNTIF(BASE_TG!$AC$2:$AC$1000,A7)=1,"ATUALIZADO","DUPLICADO"))</f>
        <v>ATUALIZADO</v>
      </c>
    </row>
    <row r="8">
      <c r="A8" s="59" t="s">
        <v>235</v>
      </c>
      <c r="B8" s="59" t="s">
        <v>213</v>
      </c>
      <c r="C8" s="59" t="s">
        <v>215</v>
      </c>
      <c r="D8" s="59">
        <f>COUNTIF('Planilha atualizada'!$U$2:$U$59,A8)</f>
        <v>1</v>
      </c>
      <c r="E8" s="60">
        <f>SUMIF('Planilha atualizada'!$U$2:$U$59,A8,'Planilha atualizada'!$AB$2:$AB$59)</f>
        <v>0</v>
      </c>
      <c r="F8" s="61">
        <f>IF(COUNTIF(BASE_TG!$AC$2:$AC$1000,A8)=1,SUMIF(BASE_TG!$AC$2:$AC$1000,A8,BASE_TG!$AB$2:$AB$1000),"")</f>
        <v>2247.32</v>
      </c>
      <c r="G8" s="61">
        <f>SUMIF('Planilha atualizada'!$U$2:$U$59,A8,'Planilha atualizada'!$AF$2:$AF$59)</f>
        <v>2247.32</v>
      </c>
      <c r="H8" s="61">
        <f t="shared" si="1"/>
        <v>0</v>
      </c>
      <c r="I8" s="59" t="str">
        <f>IF(COUNTIF(BASE_TG!$AC$2:$AC$1000,A8)=0,"NÃO LOCALIZADO",IF(COUNTIF(BASE_TG!$AC$2:$AC$1000,A8)=1,"ATUALIZADO","DUPLICADO"))</f>
        <v>ATUALIZADO</v>
      </c>
    </row>
    <row r="9">
      <c r="A9" s="59" t="s">
        <v>245</v>
      </c>
      <c r="B9" s="59" t="s">
        <v>213</v>
      </c>
      <c r="C9" s="59" t="s">
        <v>215</v>
      </c>
      <c r="D9" s="59">
        <f>COUNTIF('Planilha atualizada'!$U$2:$U$59,A9)</f>
        <v>1</v>
      </c>
      <c r="E9" s="60">
        <f>SUMIF('Planilha atualizada'!$U$2:$U$59,A9,'Planilha atualizada'!$AB$2:$AB$59)</f>
        <v>0</v>
      </c>
      <c r="F9" s="61">
        <f>IF(COUNTIF(BASE_TG!$AC$2:$AC$1000,A9)=1,SUMIF(BASE_TG!$AC$2:$AC$1000,A9,BASE_TG!$AB$2:$AB$1000),"")</f>
        <v>290.26</v>
      </c>
      <c r="G9" s="61">
        <f>SUMIF('Planilha atualizada'!$U$2:$U$59,A9,'Planilha atualizada'!$AF$2:$AF$59)</f>
        <v>290.26</v>
      </c>
      <c r="H9" s="61">
        <f t="shared" si="1"/>
        <v>0</v>
      </c>
      <c r="I9" s="59" t="str">
        <f>IF(COUNTIF(BASE_TG!$AC$2:$AC$1000,A9)=0,"NÃO LOCALIZADO",IF(COUNTIF(BASE_TG!$AC$2:$AC$1000,A9)=1,"ATUALIZADO","DUPLICADO"))</f>
        <v>ATUALIZADO</v>
      </c>
    </row>
    <row r="10">
      <c r="A10" s="59" t="s">
        <v>255</v>
      </c>
      <c r="B10" s="59" t="s">
        <v>213</v>
      </c>
      <c r="C10" s="59" t="s">
        <v>259</v>
      </c>
      <c r="D10" s="59">
        <f>COUNTIF('Planilha atualizada'!$U$2:$U$59,A10)</f>
        <v>1</v>
      </c>
      <c r="E10" s="60">
        <f>SUMIF('Planilha atualizada'!$U$2:$U$59,A10,'Planilha atualizada'!$AB$2:$AB$59)</f>
        <v>0</v>
      </c>
      <c r="F10" s="61">
        <f>IF(COUNTIF(BASE_TG!$AC$2:$AC$1000,A10)=1,SUMIF(BASE_TG!$AC$2:$AC$1000,A10,BASE_TG!$AB$2:$AB$1000),"")</f>
        <v>11048.64</v>
      </c>
      <c r="G10" s="61">
        <f>SUMIF('Planilha atualizada'!$U$2:$U$59,A10,'Planilha atualizada'!$AF$2:$AF$59)</f>
        <v>11048.64</v>
      </c>
      <c r="H10" s="61">
        <f t="shared" si="1"/>
        <v>0</v>
      </c>
      <c r="I10" s="59" t="str">
        <f>IF(COUNTIF(BASE_TG!$AC$2:$AC$1000,A10)=0,"NÃO LOCALIZADO",IF(COUNTIF(BASE_TG!$AC$2:$AC$1000,A10)=1,"ATUALIZADO","DUPLICADO"))</f>
        <v>ATUALIZADO</v>
      </c>
    </row>
    <row r="11">
      <c r="A11" s="59" t="s">
        <v>264</v>
      </c>
      <c r="B11" s="59" t="s">
        <v>213</v>
      </c>
      <c r="C11" s="59" t="s">
        <v>259</v>
      </c>
      <c r="D11" s="59">
        <f>COUNTIF('Planilha atualizada'!$U$2:$U$59,A11)</f>
        <v>1</v>
      </c>
      <c r="E11" s="60">
        <f>SUMIF('Planilha atualizada'!$U$2:$U$59,A11,'Planilha atualizada'!$AB$2:$AB$59)</f>
        <v>0</v>
      </c>
      <c r="F11" s="61">
        <f>IF(COUNTIF(BASE_TG!$AC$2:$AC$1000,A11)=1,SUMIF(BASE_TG!$AC$2:$AC$1000,A11,BASE_TG!$AB$2:$AB$1000),"")</f>
        <v>12032.07</v>
      </c>
      <c r="G11" s="61">
        <f>SUMIF('Planilha atualizada'!$U$2:$U$59,A11,'Planilha atualizada'!$AF$2:$AF$59)</f>
        <v>12032.07</v>
      </c>
      <c r="H11" s="61">
        <f t="shared" si="1"/>
        <v>0</v>
      </c>
      <c r="I11" s="59" t="str">
        <f>IF(COUNTIF(BASE_TG!$AC$2:$AC$1000,A11)=0,"NÃO LOCALIZADO",IF(COUNTIF(BASE_TG!$AC$2:$AC$1000,A11)=1,"ATUALIZADO","DUPLICADO"))</f>
        <v>ATUALIZADO</v>
      </c>
    </row>
    <row r="12">
      <c r="A12" s="59" t="s">
        <v>274</v>
      </c>
      <c r="B12" s="59" t="s">
        <v>275</v>
      </c>
      <c r="C12" s="59" t="s">
        <v>276</v>
      </c>
      <c r="D12" s="59">
        <f>COUNTIF('Planilha atualizada'!$U$2:$U$59,A12)</f>
        <v>1</v>
      </c>
      <c r="E12" s="60">
        <f>SUMIF('Planilha atualizada'!$U$2:$U$59,A12,'Planilha atualizada'!$AB$2:$AB$59)</f>
        <v>0</v>
      </c>
      <c r="F12" s="61">
        <f>IF(COUNTIF(BASE_TG!$AC$2:$AC$1000,A12)=1,SUMIF(BASE_TG!$AC$2:$AC$1000,A12,BASE_TG!$AB$2:$AB$1000),"")</f>
        <v>208.34</v>
      </c>
      <c r="G12" s="61">
        <f>SUMIF('Planilha atualizada'!$U$2:$U$59,A12,'Planilha atualizada'!$AF$2:$AF$59)</f>
        <v>208.34</v>
      </c>
      <c r="H12" s="61">
        <f t="shared" si="1"/>
        <v>0</v>
      </c>
      <c r="I12" s="59" t="str">
        <f>IF(COUNTIF(BASE_TG!$AC$2:$AC$1000,A12)=0,"NÃO LOCALIZADO",IF(COUNTIF(BASE_TG!$AC$2:$AC$1000,A12)=1,"ATUALIZADO","DUPLICADO"))</f>
        <v>ATUALIZADO</v>
      </c>
    </row>
    <row r="13">
      <c r="A13" s="59" t="s">
        <v>285</v>
      </c>
      <c r="B13" s="59" t="s">
        <v>286</v>
      </c>
      <c r="C13" s="59" t="s">
        <v>287</v>
      </c>
      <c r="D13" s="59">
        <f>COUNTIF('Planilha atualizada'!$U$2:$U$59,A13)</f>
        <v>1</v>
      </c>
      <c r="E13" s="60">
        <f>SUMIF('Planilha atualizada'!$U$2:$U$59,A13,'Planilha atualizada'!$AB$2:$AB$59)</f>
        <v>0</v>
      </c>
      <c r="F13" s="61">
        <f>IF(COUNTIF(BASE_TG!$AC$2:$AC$1000,A13)=1,SUMIF(BASE_TG!$AC$2:$AC$1000,A13,BASE_TG!$AB$2:$AB$1000),"")</f>
        <v>1450</v>
      </c>
      <c r="G13" s="61">
        <f>SUMIF('Planilha atualizada'!$U$2:$U$59,A13,'Planilha atualizada'!$AF$2:$AF$59)</f>
        <v>1450</v>
      </c>
      <c r="H13" s="61">
        <f t="shared" si="1"/>
        <v>0</v>
      </c>
      <c r="I13" s="59" t="str">
        <f>IF(COUNTIF(BASE_TG!$AC$2:$AC$1000,A13)=0,"NÃO LOCALIZADO",IF(COUNTIF(BASE_TG!$AC$2:$AC$1000,A13)=1,"ATUALIZADO","DUPLICADO"))</f>
        <v>ATUALIZADO</v>
      </c>
    </row>
    <row r="14">
      <c r="A14" s="59" t="s">
        <v>295</v>
      </c>
      <c r="B14" s="59" t="s">
        <v>296</v>
      </c>
      <c r="C14" s="59" t="s">
        <v>297</v>
      </c>
      <c r="D14" s="59">
        <f>COUNTIF('Planilha atualizada'!$U$2:$U$59,A14)</f>
        <v>1</v>
      </c>
      <c r="E14" s="60">
        <f>SUMIF('Planilha atualizada'!$U$2:$U$59,A14,'Planilha atualizada'!$AB$2:$AB$59)</f>
        <v>1</v>
      </c>
      <c r="F14" s="61">
        <f>IF(COUNTIF(BASE_TG!$AC$2:$AC$1000,A14)=1,SUMIF(BASE_TG!$AC$2:$AC$1000,A14,BASE_TG!$AB$2:$AB$1000),"")</f>
        <v>64115.65</v>
      </c>
      <c r="G14" s="61">
        <f>SUMIF('Planilha atualizada'!$U$2:$U$59,A14,'Planilha atualizada'!$AF$2:$AF$59)</f>
        <v>64115.65</v>
      </c>
      <c r="H14" s="61">
        <f t="shared" si="1"/>
        <v>0</v>
      </c>
      <c r="I14" s="59" t="str">
        <f>IF(COUNTIF(BASE_TG!$AC$2:$AC$1000,A14)=0,"NÃO LOCALIZADO",IF(COUNTIF(BASE_TG!$AC$2:$AC$1000,A14)=1,"ATUALIZADO","DUPLICADO"))</f>
        <v>ATUALIZADO</v>
      </c>
    </row>
    <row r="15">
      <c r="A15" s="59" t="s">
        <v>307</v>
      </c>
      <c r="B15" s="59" t="s">
        <v>308</v>
      </c>
      <c r="C15" s="59" t="s">
        <v>312</v>
      </c>
      <c r="D15" s="59">
        <f>COUNTIF('Planilha atualizada'!$U$2:$U$59,A15)</f>
        <v>1</v>
      </c>
      <c r="E15" s="60">
        <f>SUMIF('Planilha atualizada'!$U$2:$U$59,A15,'Planilha atualizada'!$AB$2:$AB$59)</f>
        <v>0</v>
      </c>
      <c r="F15" s="61">
        <f>IF(COUNTIF(BASE_TG!$AC$2:$AC$1000,A15)=1,SUMIF(BASE_TG!$AC$2:$AC$1000,A15,BASE_TG!$AB$2:$AB$1000),"")</f>
        <v>92304.46</v>
      </c>
      <c r="G15" s="61">
        <f>SUMIF('Planilha atualizada'!$U$2:$U$59,A15,'Planilha atualizada'!$AF$2:$AF$59)</f>
        <v>92304.46</v>
      </c>
      <c r="H15" s="61">
        <f t="shared" si="1"/>
        <v>0</v>
      </c>
      <c r="I15" s="59" t="str">
        <f>IF(COUNTIF(BASE_TG!$AC$2:$AC$1000,A15)=0,"NÃO LOCALIZADO",IF(COUNTIF(BASE_TG!$AC$2:$AC$1000,A15)=1,"ATUALIZADO","DUPLICADO"))</f>
        <v>ATUALIZADO</v>
      </c>
    </row>
    <row r="16">
      <c r="A16" s="59" t="s">
        <v>321</v>
      </c>
      <c r="B16" s="59" t="s">
        <v>308</v>
      </c>
      <c r="C16" s="59" t="s">
        <v>312</v>
      </c>
      <c r="D16" s="59">
        <f>COUNTIF('Planilha atualizada'!$U$2:$U$59,A16)</f>
        <v>1</v>
      </c>
      <c r="E16" s="60">
        <f>SUMIF('Planilha atualizada'!$U$2:$U$59,A16,'Planilha atualizada'!$AB$2:$AB$59)</f>
        <v>0</v>
      </c>
      <c r="F16" s="61">
        <f>IF(COUNTIF(BASE_TG!$AC$2:$AC$1000,A16)=1,SUMIF(BASE_TG!$AC$2:$AC$1000,A16,BASE_TG!$AB$2:$AB$1000),"")</f>
        <v>123167.52</v>
      </c>
      <c r="G16" s="61">
        <f>SUMIF('Planilha atualizada'!$U$2:$U$59,A16,'Planilha atualizada'!$AF$2:$AF$59)</f>
        <v>123167.52</v>
      </c>
      <c r="H16" s="61">
        <f t="shared" si="1"/>
        <v>0</v>
      </c>
      <c r="I16" s="59" t="str">
        <f>IF(COUNTIF(BASE_TG!$AC$2:$AC$1000,A16)=0,"NÃO LOCALIZADO",IF(COUNTIF(BASE_TG!$AC$2:$AC$1000,A16)=1,"ATUALIZADO","DUPLICADO"))</f>
        <v>ATUALIZADO</v>
      </c>
    </row>
    <row r="17">
      <c r="A17" s="59" t="s">
        <v>327</v>
      </c>
      <c r="B17" s="59" t="s">
        <v>329</v>
      </c>
      <c r="C17" s="59" t="s">
        <v>331</v>
      </c>
      <c r="D17" s="59">
        <f>COUNTIF('Planilha atualizada'!$U$2:$U$59,A17)</f>
        <v>1</v>
      </c>
      <c r="E17" s="60">
        <f>SUMIF('Planilha atualizada'!$U$2:$U$59,A17,'Planilha atualizada'!$AB$2:$AB$59)</f>
        <v>0</v>
      </c>
      <c r="F17" s="61">
        <f>IF(COUNTIF(BASE_TG!$AC$2:$AC$1000,A17)=1,SUMIF(BASE_TG!$AC$2:$AC$1000,A17,BASE_TG!$AB$2:$AB$1000),"")</f>
        <v>1796.52</v>
      </c>
      <c r="G17" s="61">
        <f>SUMIF('Planilha atualizada'!$U$2:$U$59,A17,'Planilha atualizada'!$AF$2:$AF$59)</f>
        <v>1796.52</v>
      </c>
      <c r="H17" s="61">
        <f t="shared" si="1"/>
        <v>0</v>
      </c>
      <c r="I17" s="59" t="str">
        <f>IF(COUNTIF(BASE_TG!$AC$2:$AC$1000,A17)=0,"NÃO LOCALIZADO",IF(COUNTIF(BASE_TG!$AC$2:$AC$1000,A17)=1,"ATUALIZADO","DUPLICADO"))</f>
        <v>ATUALIZADO</v>
      </c>
    </row>
    <row r="18">
      <c r="A18" s="59" t="s">
        <v>341</v>
      </c>
      <c r="B18" s="59" t="s">
        <v>342</v>
      </c>
      <c r="C18" s="59" t="s">
        <v>343</v>
      </c>
      <c r="D18" s="59">
        <f>COUNTIF('Planilha atualizada'!$U$2:$U$59,A18)</f>
        <v>1</v>
      </c>
      <c r="E18" s="60">
        <f>SUMIF('Planilha atualizada'!$U$2:$U$59,A18,'Planilha atualizada'!$AB$2:$AB$59)</f>
        <v>0</v>
      </c>
      <c r="F18" s="61">
        <f>IF(COUNTIF(BASE_TG!$AC$2:$AC$1000,A18)=1,SUMIF(BASE_TG!$AC$2:$AC$1000,A18,BASE_TG!$AB$2:$AB$1000),"")</f>
        <v>18961.96</v>
      </c>
      <c r="G18" s="61">
        <f>SUMIF('Planilha atualizada'!$U$2:$U$59,A18,'Planilha atualizada'!$AF$2:$AF$59)</f>
        <v>18961.96</v>
      </c>
      <c r="H18" s="61">
        <f t="shared" si="1"/>
        <v>0</v>
      </c>
      <c r="I18" s="59" t="str">
        <f>IF(COUNTIF(BASE_TG!$AC$2:$AC$1000,A18)=0,"NÃO LOCALIZADO",IF(COUNTIF(BASE_TG!$AC$2:$AC$1000,A18)=1,"ATUALIZADO","DUPLICADO"))</f>
        <v>ATUALIZADO</v>
      </c>
    </row>
    <row r="19">
      <c r="A19" s="59" t="s">
        <v>353</v>
      </c>
      <c r="B19" s="59" t="s">
        <v>354</v>
      </c>
      <c r="C19" s="59" t="s">
        <v>356</v>
      </c>
      <c r="D19" s="59">
        <f>COUNTIF('Planilha atualizada'!$U$2:$U$59,A19)</f>
        <v>1</v>
      </c>
      <c r="E19" s="60">
        <f>SUMIF('Planilha atualizada'!$U$2:$U$59,A19,'Planilha atualizada'!$AB$2:$AB$59)</f>
        <v>0</v>
      </c>
      <c r="F19" s="61">
        <f>IF(COUNTIF(BASE_TG!$AC$2:$AC$1000,A19)=1,SUMIF(BASE_TG!$AC$2:$AC$1000,A19,BASE_TG!$AB$2:$AB$1000),"")</f>
        <v>7057.53</v>
      </c>
      <c r="G19" s="61">
        <f>SUMIF('Planilha atualizada'!$U$2:$U$59,A19,'Planilha atualizada'!$AF$2:$AF$59)</f>
        <v>7057.53</v>
      </c>
      <c r="H19" s="61">
        <f t="shared" si="1"/>
        <v>0</v>
      </c>
      <c r="I19" s="59" t="str">
        <f>IF(COUNTIF(BASE_TG!$AC$2:$AC$1000,A19)=0,"NÃO LOCALIZADO",IF(COUNTIF(BASE_TG!$AC$2:$AC$1000,A19)=1,"ATUALIZADO","DUPLICADO"))</f>
        <v>ATUALIZADO</v>
      </c>
    </row>
    <row r="20">
      <c r="A20" s="59" t="s">
        <v>363</v>
      </c>
      <c r="B20" s="59" t="s">
        <v>364</v>
      </c>
      <c r="C20" s="59" t="s">
        <v>365</v>
      </c>
      <c r="D20" s="59">
        <f>COUNTIF('Planilha atualizada'!$U$2:$U$59,A20)</f>
        <v>6</v>
      </c>
      <c r="E20" s="60">
        <f>SUMIF('Planilha atualizada'!$U$2:$U$59,A20,'Planilha atualizada'!$AB$2:$AB$59)</f>
        <v>1</v>
      </c>
      <c r="F20" s="61">
        <f>IF(COUNTIF(BASE_TG!$AC$2:$AC$1000,A20)=1,SUMIF(BASE_TG!$AC$2:$AC$1000,A20,BASE_TG!$AB$2:$AB$1000),"")</f>
        <v>104356.56</v>
      </c>
      <c r="G20" s="61">
        <f>SUMIF('Planilha atualizada'!$U$2:$U$59,A20,'Planilha atualizada'!$AF$2:$AF$59)</f>
        <v>104356.56</v>
      </c>
      <c r="H20" s="61">
        <f t="shared" si="1"/>
        <v>0</v>
      </c>
      <c r="I20" s="59" t="str">
        <f>IF(COUNTIF(BASE_TG!$AC$2:$AC$1000,A20)=0,"NÃO LOCALIZADO",IF(COUNTIF(BASE_TG!$AC$2:$AC$1000,A20)=1,"ATUALIZADO","DUPLICADO"))</f>
        <v>ATUALIZADO</v>
      </c>
    </row>
    <row r="21" ht="15.75" customHeight="1">
      <c r="A21" s="59" t="s">
        <v>378</v>
      </c>
      <c r="B21" s="59" t="s">
        <v>379</v>
      </c>
      <c r="C21" s="59" t="s">
        <v>380</v>
      </c>
      <c r="D21" s="59">
        <f>COUNTIF('Planilha atualizada'!$U$2:$U$59,A21)</f>
        <v>1</v>
      </c>
      <c r="E21" s="60">
        <f>SUMIF('Planilha atualizada'!$U$2:$U$59,A21,'Planilha atualizada'!$AB$2:$AB$59)</f>
        <v>0</v>
      </c>
      <c r="F21" s="61">
        <f>IF(COUNTIF(BASE_TG!$AC$2:$AC$1000,A21)=1,SUMIF(BASE_TG!$AC$2:$AC$1000,A21,BASE_TG!$AB$2:$AB$1000),"")</f>
        <v>351.4</v>
      </c>
      <c r="G21" s="61">
        <f>SUMIF('Planilha atualizada'!$U$2:$U$59,A21,'Planilha atualizada'!$AF$2:$AF$59)</f>
        <v>351.4</v>
      </c>
      <c r="H21" s="61">
        <f t="shared" si="1"/>
        <v>0</v>
      </c>
      <c r="I21" s="59" t="str">
        <f>IF(COUNTIF(BASE_TG!$AC$2:$AC$1000,A21)=0,"NÃO LOCALIZADO",IF(COUNTIF(BASE_TG!$AC$2:$AC$1000,A21)=1,"ATUALIZADO","DUPLICADO"))</f>
        <v>ATUALIZADO</v>
      </c>
    </row>
    <row r="22" ht="15.75" customHeight="1">
      <c r="A22" s="59" t="s">
        <v>387</v>
      </c>
      <c r="B22" s="59" t="s">
        <v>388</v>
      </c>
      <c r="C22" s="59" t="s">
        <v>389</v>
      </c>
      <c r="D22" s="59">
        <f>COUNTIF('Planilha atualizada'!$U$2:$U$59,A22)</f>
        <v>1</v>
      </c>
      <c r="E22" s="60">
        <f>SUMIF('Planilha atualizada'!$U$2:$U$59,A22,'Planilha atualizada'!$AB$2:$AB$59)</f>
        <v>0</v>
      </c>
      <c r="F22" s="61">
        <f>IF(COUNTIF(BASE_TG!$AC$2:$AC$1000,A22)=1,SUMIF(BASE_TG!$AC$2:$AC$1000,A22,BASE_TG!$AB$2:$AB$1000),"")</f>
        <v>146289.24</v>
      </c>
      <c r="G22" s="61">
        <f>SUMIF('Planilha atualizada'!$U$2:$U$59,A22,'Planilha atualizada'!$AF$2:$AF$59)</f>
        <v>146289.24</v>
      </c>
      <c r="H22" s="61">
        <f t="shared" si="1"/>
        <v>0</v>
      </c>
      <c r="I22" s="59" t="str">
        <f>IF(COUNTIF(BASE_TG!$AC$2:$AC$1000,A22)=0,"NÃO LOCALIZADO",IF(COUNTIF(BASE_TG!$AC$2:$AC$1000,A22)=1,"ATUALIZADO","DUPLICADO"))</f>
        <v>ATUALIZADO</v>
      </c>
    </row>
    <row r="23" ht="15.75" customHeight="1">
      <c r="A23" s="59" t="s">
        <v>396</v>
      </c>
      <c r="B23" s="59" t="s">
        <v>397</v>
      </c>
      <c r="C23" s="59" t="s">
        <v>398</v>
      </c>
      <c r="D23" s="59">
        <f>COUNTIF('Planilha atualizada'!$U$2:$U$59,A23)</f>
        <v>6</v>
      </c>
      <c r="E23" s="60">
        <f>SUMIF('Planilha atualizada'!$U$2:$U$59,A23,'Planilha atualizada'!$AB$2:$AB$59)</f>
        <v>0.9998</v>
      </c>
      <c r="F23" s="61">
        <f>IF(COUNTIF(BASE_TG!$AC$2:$AC$1000,A23)=1,SUMIF(BASE_TG!$AC$2:$AC$1000,A23,BASE_TG!$AB$2:$AB$1000),"")</f>
        <v>19687.42</v>
      </c>
      <c r="G23" s="61">
        <f>SUMIF('Planilha atualizada'!$U$2:$U$59,A23,'Planilha atualizada'!$AF$2:$AF$59)</f>
        <v>19683.48252</v>
      </c>
      <c r="H23" s="61">
        <f t="shared" si="1"/>
        <v>3.937484</v>
      </c>
      <c r="I23" s="59" t="str">
        <f>IF(COUNTIF(BASE_TG!$AC$2:$AC$1000,A23)=0,"NÃO LOCALIZADO",IF(COUNTIF(BASE_TG!$AC$2:$AC$1000,A23)=1,"ATUALIZADO","DUPLICADO"))</f>
        <v>ATUALIZADO</v>
      </c>
    </row>
    <row r="24" ht="15.75" customHeight="1">
      <c r="A24" s="59" t="s">
        <v>409</v>
      </c>
      <c r="B24" s="59" t="s">
        <v>410</v>
      </c>
      <c r="C24" s="59" t="s">
        <v>411</v>
      </c>
      <c r="D24" s="59">
        <f>COUNTIF('Planilha atualizada'!$U$2:$U$59,A24)</f>
        <v>1</v>
      </c>
      <c r="E24" s="60">
        <f>SUMIF('Planilha atualizada'!$U$2:$U$59,A24,'Planilha atualizada'!$AB$2:$AB$59)</f>
        <v>0</v>
      </c>
      <c r="F24" s="61">
        <f>IF(COUNTIF(BASE_TG!$AC$2:$AC$1000,A24)=1,SUMIF(BASE_TG!$AC$2:$AC$1000,A24,BASE_TG!$AB$2:$AB$1000),"")</f>
        <v>140160.23</v>
      </c>
      <c r="G24" s="61">
        <f>SUMIF('Planilha atualizada'!$U$2:$U$59,A24,'Planilha atualizada'!$AF$2:$AF$59)</f>
        <v>140160.23</v>
      </c>
      <c r="H24" s="61">
        <f t="shared" si="1"/>
        <v>0</v>
      </c>
      <c r="I24" s="59" t="str">
        <f>IF(COUNTIF(BASE_TG!$AC$2:$AC$1000,A24)=0,"NÃO LOCALIZADO",IF(COUNTIF(BASE_TG!$AC$2:$AC$1000,A24)=1,"ATUALIZADO","DUPLICADO"))</f>
        <v>ATUALIZADO</v>
      </c>
    </row>
    <row r="25" ht="15.75" customHeight="1">
      <c r="A25" s="59" t="s">
        <v>420</v>
      </c>
      <c r="B25" s="59" t="s">
        <v>421</v>
      </c>
      <c r="C25" s="59" t="s">
        <v>424</v>
      </c>
      <c r="D25" s="59">
        <f>COUNTIF('Planilha atualizada'!$U$2:$U$59,A25)</f>
        <v>1</v>
      </c>
      <c r="E25" s="60">
        <f>SUMIF('Planilha atualizada'!$U$2:$U$59,A25,'Planilha atualizada'!$AB$2:$AB$59)</f>
        <v>0</v>
      </c>
      <c r="F25" s="61">
        <f>IF(COUNTIF(BASE_TG!$AC$2:$AC$1000,A25)=1,SUMIF(BASE_TG!$AC$2:$AC$1000,A25,BASE_TG!$AB$2:$AB$1000),"")</f>
        <v>12600</v>
      </c>
      <c r="G25" s="61">
        <f>SUMIF('Planilha atualizada'!$U$2:$U$59,A25,'Planilha atualizada'!$AF$2:$AF$59)</f>
        <v>12600</v>
      </c>
      <c r="H25" s="61">
        <f t="shared" si="1"/>
        <v>0</v>
      </c>
      <c r="I25" s="59" t="str">
        <f>IF(COUNTIF(BASE_TG!$AC$2:$AC$1000,A25)=0,"NÃO LOCALIZADO",IF(COUNTIF(BASE_TG!$AC$2:$AC$1000,A25)=1,"ATUALIZADO","DUPLICADO"))</f>
        <v>ATUALIZADO</v>
      </c>
    </row>
    <row r="26" ht="15.75" customHeight="1">
      <c r="A26" s="59" t="s">
        <v>429</v>
      </c>
      <c r="B26" s="59" t="s">
        <v>430</v>
      </c>
      <c r="C26" s="59" t="s">
        <v>431</v>
      </c>
      <c r="D26" s="59">
        <f>COUNTIF('Planilha atualizada'!$U$2:$U$59,A26)</f>
        <v>1</v>
      </c>
      <c r="E26" s="60">
        <f>SUMIF('Planilha atualizada'!$U$2:$U$59,A26,'Planilha atualizada'!$AB$2:$AB$59)</f>
        <v>0</v>
      </c>
      <c r="F26" s="61">
        <f>IF(COUNTIF(BASE_TG!$AC$2:$AC$1000,A26)=1,SUMIF(BASE_TG!$AC$2:$AC$1000,A26,BASE_TG!$AB$2:$AB$1000),"")</f>
        <v>600.77</v>
      </c>
      <c r="G26" s="61">
        <f>SUMIF('Planilha atualizada'!$U$2:$U$59,A26,'Planilha atualizada'!$AF$2:$AF$59)</f>
        <v>600.77</v>
      </c>
      <c r="H26" s="61">
        <f t="shared" si="1"/>
        <v>0</v>
      </c>
      <c r="I26" s="59" t="str">
        <f>IF(COUNTIF(BASE_TG!$AC$2:$AC$1000,A26)=0,"NÃO LOCALIZADO",IF(COUNTIF(BASE_TG!$AC$2:$AC$1000,A26)=1,"ATUALIZADO","DUPLICADO"))</f>
        <v>ATUALIZADO</v>
      </c>
    </row>
    <row r="27" ht="15.75" customHeight="1">
      <c r="A27" s="59" t="s">
        <v>436</v>
      </c>
      <c r="B27" s="59" t="s">
        <v>438</v>
      </c>
      <c r="C27" s="59" t="s">
        <v>440</v>
      </c>
      <c r="D27" s="59">
        <f>COUNTIF('Planilha atualizada'!$U$2:$U$59,A27)</f>
        <v>1</v>
      </c>
      <c r="E27" s="60">
        <f>SUMIF('Planilha atualizada'!$U$2:$U$59,A27,'Planilha atualizada'!$AB$2:$AB$59)</f>
        <v>0</v>
      </c>
      <c r="F27" s="61">
        <f>IF(COUNTIF(BASE_TG!$AC$2:$AC$1000,A27)=1,SUMIF(BASE_TG!$AC$2:$AC$1000,A27,BASE_TG!$AB$2:$AB$1000),"")</f>
        <v>216529.02</v>
      </c>
      <c r="G27" s="61">
        <f>SUMIF('Planilha atualizada'!$U$2:$U$59,A27,'Planilha atualizada'!$AF$2:$AF$59)</f>
        <v>216529.02</v>
      </c>
      <c r="H27" s="61">
        <f t="shared" si="1"/>
        <v>0</v>
      </c>
      <c r="I27" s="59" t="str">
        <f>IF(COUNTIF(BASE_TG!$AC$2:$AC$1000,A27)=0,"NÃO LOCALIZADO",IF(COUNTIF(BASE_TG!$AC$2:$AC$1000,A27)=1,"ATUALIZADO","DUPLICADO"))</f>
        <v>ATUALIZADO</v>
      </c>
    </row>
    <row r="28" ht="15.75" customHeight="1">
      <c r="A28" s="59" t="s">
        <v>444</v>
      </c>
      <c r="B28" s="59" t="s">
        <v>445</v>
      </c>
      <c r="C28" s="59" t="s">
        <v>448</v>
      </c>
      <c r="D28" s="59">
        <f>COUNTIF('Planilha atualizada'!$U$2:$U$59,A28)</f>
        <v>1</v>
      </c>
      <c r="E28" s="60">
        <f>SUMIF('Planilha atualizada'!$U$2:$U$59,A28,'Planilha atualizada'!$AB$2:$AB$59)</f>
        <v>0</v>
      </c>
      <c r="F28" s="61">
        <f>IF(COUNTIF(BASE_TG!$AC$2:$AC$1000,A28)=1,SUMIF(BASE_TG!$AC$2:$AC$1000,A28,BASE_TG!$AB$2:$AB$1000),"")</f>
        <v>2088333.56</v>
      </c>
      <c r="G28" s="61">
        <f>SUMIF('Planilha atualizada'!$U$2:$U$59,A28,'Planilha atualizada'!$AF$2:$AF$59)</f>
        <v>2088333.56</v>
      </c>
      <c r="H28" s="61">
        <f t="shared" si="1"/>
        <v>0</v>
      </c>
      <c r="I28" s="59" t="str">
        <f>IF(COUNTIF(BASE_TG!$AC$2:$AC$1000,A28)=0,"NÃO LOCALIZADO",IF(COUNTIF(BASE_TG!$AC$2:$AC$1000,A28)=1,"ATUALIZADO","DUPLICADO"))</f>
        <v>ATUALIZADO</v>
      </c>
    </row>
    <row r="29" ht="15.75" customHeight="1">
      <c r="A29" s="59" t="s">
        <v>453</v>
      </c>
      <c r="B29" s="59" t="s">
        <v>454</v>
      </c>
      <c r="C29" s="59" t="s">
        <v>455</v>
      </c>
      <c r="D29" s="59">
        <f>COUNTIF('Planilha atualizada'!$U$2:$U$59,A29)</f>
        <v>1</v>
      </c>
      <c r="E29" s="60">
        <f>SUMIF('Planilha atualizada'!$U$2:$U$59,A29,'Planilha atualizada'!$AB$2:$AB$59)</f>
        <v>0</v>
      </c>
      <c r="F29" s="61">
        <f>IF(COUNTIF(BASE_TG!$AC$2:$AC$1000,A29)=1,SUMIF(BASE_TG!$AC$2:$AC$1000,A29,BASE_TG!$AB$2:$AB$1000),"")</f>
        <v>1516940.26</v>
      </c>
      <c r="G29" s="61">
        <f>SUMIF('Planilha atualizada'!$U$2:$U$59,A29,'Planilha atualizada'!$AF$2:$AF$59)</f>
        <v>1516940.26</v>
      </c>
      <c r="H29" s="61">
        <f t="shared" si="1"/>
        <v>0</v>
      </c>
      <c r="I29" s="59" t="str">
        <f>IF(COUNTIF(BASE_TG!$AC$2:$AC$1000,A29)=0,"NÃO LOCALIZADO",IF(COUNTIF(BASE_TG!$AC$2:$AC$1000,A29)=1,"ATUALIZADO","DUPLICADO"))</f>
        <v>ATUALIZADO</v>
      </c>
    </row>
    <row r="30" ht="15.75" customHeight="1">
      <c r="A30" s="59" t="s">
        <v>461</v>
      </c>
      <c r="B30" s="59" t="s">
        <v>463</v>
      </c>
      <c r="C30" s="59" t="s">
        <v>465</v>
      </c>
      <c r="D30" s="59">
        <f>COUNTIF('Planilha atualizada'!$U$2:$U$59,A30)</f>
        <v>1</v>
      </c>
      <c r="E30" s="60">
        <f>SUMIF('Planilha atualizada'!$U$2:$U$59,A30,'Planilha atualizada'!$AB$2:$AB$59)</f>
        <v>0</v>
      </c>
      <c r="F30" s="61">
        <f>IF(COUNTIF(BASE_TG!$AC$2:$AC$1000,A30)=1,SUMIF(BASE_TG!$AC$2:$AC$1000,A30,BASE_TG!$AB$2:$AB$1000),"")</f>
        <v>445078.5</v>
      </c>
      <c r="G30" s="61">
        <f>SUMIF('Planilha atualizada'!$U$2:$U$59,A30,'Planilha atualizada'!$AF$2:$AF$59)</f>
        <v>445078.5</v>
      </c>
      <c r="H30" s="61">
        <f t="shared" si="1"/>
        <v>0</v>
      </c>
      <c r="I30" s="59" t="str">
        <f>IF(COUNTIF(BASE_TG!$AC$2:$AC$1000,A30)=0,"NÃO LOCALIZADO",IF(COUNTIF(BASE_TG!$AC$2:$AC$1000,A30)=1,"ATUALIZADO","DUPLICADO"))</f>
        <v>ATUALIZADO</v>
      </c>
    </row>
    <row r="31" ht="15.75" customHeight="1">
      <c r="A31" s="59" t="s">
        <v>470</v>
      </c>
      <c r="B31" s="59" t="s">
        <v>472</v>
      </c>
      <c r="C31" s="59" t="s">
        <v>473</v>
      </c>
      <c r="D31" s="59">
        <f>COUNTIF('Planilha atualizada'!$U$2:$U$59,A31)</f>
        <v>2</v>
      </c>
      <c r="E31" s="60">
        <f>SUMIF('Planilha atualizada'!$U$2:$U$59,A31,'Planilha atualizada'!$AB$2:$AB$59)</f>
        <v>1</v>
      </c>
      <c r="F31" s="61">
        <f>IF(COUNTIF(BASE_TG!$AC$2:$AC$1000,A31)=1,SUMIF(BASE_TG!$AC$2:$AC$1000,A31,BASE_TG!$AB$2:$AB$1000),"")</f>
        <v>209.83</v>
      </c>
      <c r="G31" s="61">
        <f>SUMIF('Planilha atualizada'!$U$2:$U$59,A31,'Planilha atualizada'!$AF$2:$AF$59)</f>
        <v>209.83</v>
      </c>
      <c r="H31" s="61">
        <f t="shared" si="1"/>
        <v>0</v>
      </c>
      <c r="I31" s="59" t="str">
        <f>IF(COUNTIF(BASE_TG!$AC$2:$AC$1000,A31)=0,"NÃO LOCALIZADO",IF(COUNTIF(BASE_TG!$AC$2:$AC$1000,A31)=1,"ATUALIZADO","DUPLICADO"))</f>
        <v>ATUALIZADO</v>
      </c>
    </row>
    <row r="32" ht="15.75" customHeight="1">
      <c r="A32" s="59" t="s">
        <v>481</v>
      </c>
      <c r="B32" s="59" t="s">
        <v>482</v>
      </c>
      <c r="C32" s="59" t="s">
        <v>483</v>
      </c>
      <c r="D32" s="59">
        <f>COUNTIF('Planilha atualizada'!$U$2:$U$59,A32)</f>
        <v>1</v>
      </c>
      <c r="E32" s="60">
        <f>SUMIF('Planilha atualizada'!$U$2:$U$59,A32,'Planilha atualizada'!$AB$2:$AB$59)</f>
        <v>0</v>
      </c>
      <c r="F32" s="61">
        <f>IF(COUNTIF(BASE_TG!$AC$2:$AC$1000,A32)=1,SUMIF(BASE_TG!$AC$2:$AC$1000,A32,BASE_TG!$AB$2:$AB$1000),"")</f>
        <v>1008.22</v>
      </c>
      <c r="G32" s="61">
        <f>SUMIF('Planilha atualizada'!$U$2:$U$59,A32,'Planilha atualizada'!$AF$2:$AF$59)</f>
        <v>1008.22</v>
      </c>
      <c r="H32" s="61">
        <f t="shared" si="1"/>
        <v>0</v>
      </c>
      <c r="I32" s="59" t="str">
        <f>IF(COUNTIF(BASE_TG!$AC$2:$AC$1000,A32)=0,"NÃO LOCALIZADO",IF(COUNTIF(BASE_TG!$AC$2:$AC$1000,A32)=1,"ATUALIZADO","DUPLICADO"))</f>
        <v>ATUALIZADO</v>
      </c>
    </row>
    <row r="33" ht="15.75" customHeight="1">
      <c r="A33" s="59" t="s">
        <v>492</v>
      </c>
      <c r="B33" s="59" t="s">
        <v>493</v>
      </c>
      <c r="C33" s="59" t="s">
        <v>494</v>
      </c>
      <c r="D33" s="59">
        <f>COUNTIF('Planilha atualizada'!$U$2:$U$59,A33)</f>
        <v>1</v>
      </c>
      <c r="E33" s="60">
        <f>SUMIF('Planilha atualizada'!$U$2:$U$59,A33,'Planilha atualizada'!$AB$2:$AB$59)</f>
        <v>0</v>
      </c>
      <c r="F33" s="61">
        <f>IF(COUNTIF(BASE_TG!$AC$2:$AC$1000,A33)=1,SUMIF(BASE_TG!$AC$2:$AC$1000,A33,BASE_TG!$AB$2:$AB$1000),"")</f>
        <v>113283.94</v>
      </c>
      <c r="G33" s="61">
        <f>SUMIF('Planilha atualizada'!$U$2:$U$59,A33,'Planilha atualizada'!$AF$2:$AF$59)</f>
        <v>113283.94</v>
      </c>
      <c r="H33" s="61">
        <f t="shared" si="1"/>
        <v>0</v>
      </c>
      <c r="I33" s="59" t="str">
        <f>IF(COUNTIF(BASE_TG!$AC$2:$AC$1000,A33)=0,"NÃO LOCALIZADO",IF(COUNTIF(BASE_TG!$AC$2:$AC$1000,A33)=1,"ATUALIZADO","DUPLICADO"))</f>
        <v>ATUALIZADO</v>
      </c>
    </row>
    <row r="34" ht="15.75" customHeight="1">
      <c r="A34" s="59" t="s">
        <v>499</v>
      </c>
      <c r="B34" s="59" t="s">
        <v>500</v>
      </c>
      <c r="C34" s="59" t="s">
        <v>501</v>
      </c>
      <c r="D34" s="59">
        <f>COUNTIF('Planilha atualizada'!$U$2:$U$59,A34)</f>
        <v>4</v>
      </c>
      <c r="E34" s="60" t="str">
        <f>SUMIF('Planilha atualizada'!$U$2:$U$59,A34,'Planilha atualizada'!$AB$2:$AB$59)</f>
        <v>#DIV/0!</v>
      </c>
      <c r="F34" s="61">
        <f>IF(COUNTIF(BASE_TG!$AC$2:$AC$1000,A34)=1,SUMIF(BASE_TG!$AC$2:$AC$1000,A34,BASE_TG!$AB$2:$AB$1000),"")</f>
        <v>9610</v>
      </c>
      <c r="G34" s="61">
        <f>SUMIF('Planilha atualizada'!$U$2:$U$59,A34,'Planilha atualizada'!$AF$2:$AF$59)</f>
        <v>38440</v>
      </c>
      <c r="H34" s="61">
        <f t="shared" si="1"/>
        <v>-28830</v>
      </c>
      <c r="I34" s="59" t="str">
        <f>IF(COUNTIF(BASE_TG!$AC$2:$AC$1000,A34)=0,"NÃO LOCALIZADO",IF(COUNTIF(BASE_TG!$AC$2:$AC$1000,A34)=1,"ATUALIZADO","DUPLICADO"))</f>
        <v>ATUALIZADO</v>
      </c>
    </row>
    <row r="35" ht="15.75" customHeight="1">
      <c r="A35" s="59" t="s">
        <v>504</v>
      </c>
      <c r="B35" s="59" t="s">
        <v>507</v>
      </c>
      <c r="C35" s="59" t="s">
        <v>508</v>
      </c>
      <c r="D35" s="59">
        <f>COUNTIF('Planilha atualizada'!$U$2:$U$59,A35)</f>
        <v>1</v>
      </c>
      <c r="E35" s="60">
        <f>SUMIF('Planilha atualizada'!$U$2:$U$59,A35,'Planilha atualizada'!$AB$2:$AB$59)</f>
        <v>0</v>
      </c>
      <c r="F35" s="61">
        <f>IF(COUNTIF(BASE_TG!$AC$2:$AC$1000,A35)=1,SUMIF(BASE_TG!$AC$2:$AC$1000,A35,BASE_TG!$AB$2:$AB$1000),"")</f>
        <v>0</v>
      </c>
      <c r="G35" s="61">
        <f>SUMIF('Planilha atualizada'!$U$2:$U$59,A35,'Planilha atualizada'!$AF$2:$AF$59)</f>
        <v>0</v>
      </c>
      <c r="H35" s="61">
        <f t="shared" si="1"/>
        <v>0</v>
      </c>
      <c r="I35" s="59" t="str">
        <f>IF(COUNTIF(BASE_TG!$AC$2:$AC$1000,A35)=0,"NÃO LOCALIZADO",IF(COUNTIF(BASE_TG!$AC$2:$AC$1000,A35)=1,"ATUALIZADO","DUPLICADO"))</f>
        <v>ATUALIZADO</v>
      </c>
    </row>
    <row r="36" ht="15.75" customHeight="1">
      <c r="A36" s="91" t="s">
        <v>517</v>
      </c>
      <c r="B36" s="91" t="s">
        <v>518</v>
      </c>
      <c r="C36" s="91" t="s">
        <v>519</v>
      </c>
      <c r="D36" s="91">
        <f>COUNTIF('Planilha atualizada'!$U$2:$U$59,A36)</f>
        <v>2</v>
      </c>
      <c r="E36" s="92">
        <f>SUMIF('Planilha atualizada'!$U$2:$U$59,A36,'Planilha atualizada'!$AB$2:$AB$59)</f>
        <v>1</v>
      </c>
      <c r="F36" s="93">
        <f>IF(COUNTIF(BASE_TG!$AC$2:$AC$1000,A36)=1,SUMIF(BASE_TG!$AC$2:$AC$1000,A36,BASE_TG!$AB$2:$AB$1000),"")</f>
        <v>3.78</v>
      </c>
      <c r="G36" s="93">
        <f>SUMIF('Planilha atualizada'!$U$2:$U$59,A36,'Planilha atualizada'!$AF$2:$AF$59)</f>
        <v>3.78</v>
      </c>
      <c r="H36" s="93">
        <f t="shared" si="1"/>
        <v>0</v>
      </c>
      <c r="I36" s="91" t="str">
        <f>IF(COUNTIF(BASE_TG!$AC$2:$AC$1000,A36)=0,"NÃO LOCALIZADO",IF(COUNTIF(BASE_TG!$AC$2:$AC$1000,A36)=1,"ATUALIZADO","DUPLICADO"))</f>
        <v>ATUALIZADO</v>
      </c>
    </row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I2:I36">
    <cfRule type="containsText" dxfId="5" priority="1" operator="containsText" text="ATUALIZADO">
      <formula>NOT(ISERROR(SEARCH(("ATUALIZADO"),(I2))))</formula>
    </cfRule>
  </conditionalFormatting>
  <conditionalFormatting sqref="I2:I36">
    <cfRule type="containsText" dxfId="6" priority="2" operator="containsText" text="NÃO LOCALIZADO">
      <formula>NOT(ISERROR(SEARCH(("NÃO LOCALIZADO"),(I2))))</formula>
    </cfRule>
  </conditionalFormatting>
  <conditionalFormatting sqref="I2:I36">
    <cfRule type="containsText" dxfId="7" priority="3" operator="containsText" text="DUPLICADO">
      <formula>NOT(ISERROR(SEARCH(("DUPLICADO"),(I2))))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