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sa promisaes" sheetId="1" r:id="rId4"/>
    <sheet state="visible" name="Tabela dinâmica 1" sheetId="2" r:id="rId5"/>
    <sheet state="visible" name="Bolsas e auxílios" sheetId="3" r:id="rId6"/>
    <sheet state="visible" name="Base TG" sheetId="4" r:id="rId7"/>
    <sheet state="visible" name="Como atualizar" sheetId="5" r:id="rId8"/>
  </sheets>
  <definedNames>
    <definedName hidden="1" localSheetId="2" name="_xlnm._FilterDatabase">'Bolsas e auxílios'!$A$4:$AA$23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5Gu5V1KUva0ju41FN/qCvsHJh4/TxJYToqP/QAVF8b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">
      <text>
        <t xml:space="preserve">======
ID#AAACFdQoMy0
tc={EF5C369B-3BBB-10BC-7C36-C2FF3FB7FB19}    (2026-07-28 13:11:41)
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Atualização automática: soma a coluna W (EMP TOTAL) da aba Base TG para o número de empenho da coluna J.</t>
      </text>
    </comment>
    <comment authorId="0" ref="V4">
      <text>
        <t xml:space="preserve">======
ID#AAACFdQoMy4
tc={3A436896-1EAC-67E3-944B-A80BA1CAC434}    (2026-07-28 13:11:41)
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Atualização automática: soma a coluna X (EMP A LIQ ATUAL) da aba Base TG para o número de empenho da coluna J.</t>
      </text>
    </comment>
    <comment authorId="0" ref="Z4">
      <text>
        <t xml:space="preserve">======
ID#AAACFdQoMyw
tc={2223ACE0-708B-BEED-8628-580649297A4D}    (2026-07-28 13:11:41)
[Comentário encadeado]
Sua versão do Excel permite que você leia este comentário encadeado, no entanto, as edições serão removidas se o arquivo for aberto em uma versão mais recente do Excel. Saiba mais: https://go.microsoft.com/fwlink/?linkid=870924
Comentário:
    A situação mostra empenhos sem correspondência e duplicidades. Em duplicidades, os valores encontrados são somados.</t>
      </text>
    </comment>
  </commentList>
  <extLst>
    <ext uri="GoogleSheetsCustomDataVersion2">
      <go:sheetsCustomData xmlns:go="http://customooxmlschemas.google.com/" r:id="rId1" roundtripDataSignature="AMtx7mhjft5w/jUUYfUaQKCDOMzmraX+Bw=="/>
    </ext>
  </extLst>
</comments>
</file>

<file path=xl/sharedStrings.xml><?xml version="1.0" encoding="utf-8"?>
<sst xmlns="http://schemas.openxmlformats.org/spreadsheetml/2006/main" count="434" uniqueCount="217">
  <si>
    <t>Cota Anual</t>
  </si>
  <si>
    <t>R$ 40.195,00</t>
  </si>
  <si>
    <t>MARÇO</t>
  </si>
  <si>
    <t>PRÓ-REITORIA DE ADMINISTRAÇÃO - PROPLAD</t>
  </si>
  <si>
    <t>ABRIL</t>
  </si>
  <si>
    <t>MAIO</t>
  </si>
  <si>
    <t>JUNHO</t>
  </si>
  <si>
    <t>JULHO</t>
  </si>
  <si>
    <t>AGOSTO</t>
  </si>
  <si>
    <t>SETEMBRO</t>
  </si>
  <si>
    <t>UG Executora</t>
  </si>
  <si>
    <t>OUTUBRO</t>
  </si>
  <si>
    <t>NOVEMBRO</t>
  </si>
  <si>
    <t>DEZEMBRO</t>
  </si>
  <si>
    <t>Cota Mensal</t>
  </si>
  <si>
    <t>R$ 3.349,58</t>
  </si>
  <si>
    <t>NE CCor - Favorecido</t>
  </si>
  <si>
    <t>BOLSAS, AUXÍLIOS FINANCEIROS E GECC 2026</t>
  </si>
  <si>
    <t>NE CCor</t>
  </si>
  <si>
    <t>NE CCor - Descrição</t>
  </si>
  <si>
    <t>NE CCor - Núm. Processo</t>
  </si>
  <si>
    <t>PTRES</t>
  </si>
  <si>
    <t>R$ 33.495,83</t>
  </si>
  <si>
    <t>Ação Governo</t>
  </si>
  <si>
    <t>Valor da Bolsa</t>
  </si>
  <si>
    <t>Fonte Recursos Detalhada</t>
  </si>
  <si>
    <t>Natureza Despesa</t>
  </si>
  <si>
    <t>R$ 669,92</t>
  </si>
  <si>
    <t>UG Responsável</t>
  </si>
  <si>
    <t>PROCESSO</t>
  </si>
  <si>
    <t>PI</t>
  </si>
  <si>
    <t>R$ 6.699,17</t>
  </si>
  <si>
    <t>ITEM DE DESPESA</t>
  </si>
  <si>
    <t>LIQ JAN</t>
  </si>
  <si>
    <t>R$ 4.019,50</t>
  </si>
  <si>
    <t>LIQ FEV</t>
  </si>
  <si>
    <t>UNIDADE</t>
  </si>
  <si>
    <t>AÇÃO</t>
  </si>
  <si>
    <t>LIQ MAR</t>
  </si>
  <si>
    <t>LIQ ABR</t>
  </si>
  <si>
    <t>FONTE</t>
  </si>
  <si>
    <t>LIQ MAI</t>
  </si>
  <si>
    <t>ND</t>
  </si>
  <si>
    <t>LIQ JUN</t>
  </si>
  <si>
    <t>UGR</t>
  </si>
  <si>
    <t>LIQ JUL</t>
  </si>
  <si>
    <t>EMPENHO</t>
  </si>
  <si>
    <t>LIQ AGO</t>
  </si>
  <si>
    <t>S/N</t>
  </si>
  <si>
    <t>LIQ SET</t>
  </si>
  <si>
    <t>LIQ OUT</t>
  </si>
  <si>
    <t>LIQ NOV</t>
  </si>
  <si>
    <t>LIQ DEZ</t>
  </si>
  <si>
    <t>LIQ TOTAL</t>
  </si>
  <si>
    <t>EMP TOTAL</t>
  </si>
  <si>
    <t>EMP A LIQ ATUAL</t>
  </si>
  <si>
    <t>EMPENHO EXTRAÍDO</t>
  </si>
  <si>
    <t>SITUAÇÃO NA PLANILHA</t>
  </si>
  <si>
    <t>DATA DA CARGA</t>
  </si>
  <si>
    <t>MESES DE SALDO</t>
  </si>
  <si>
    <t>MESES EMPENHADOS</t>
  </si>
  <si>
    <t>MESES LIQUIDADOS</t>
  </si>
  <si>
    <t>Colunas</t>
  </si>
  <si>
    <t>MESES NO ANO</t>
  </si>
  <si>
    <t>UNIVERSIDADE FEDERAL RURAL DE PERNAMBUCO</t>
  </si>
  <si>
    <t>QUANT. INICIAL</t>
  </si>
  <si>
    <t>QUANT. EFETIVA DE BOLSAS</t>
  </si>
  <si>
    <t>Linhas</t>
  </si>
  <si>
    <t>153165152392026NE000013</t>
  </si>
  <si>
    <t>Valores</t>
  </si>
  <si>
    <t>VALOR UNITÁRIO</t>
  </si>
  <si>
    <t>AUXILIO FINANCEIRO A ESTUDANTES - OFICIO Nº 1/2026 - NACES-UFRPE (DOC. Nº 18/2026 SIPAC) DESPACHO Nº 3034/2026 - PROPLAD</t>
  </si>
  <si>
    <t>VALOR MENSAL</t>
  </si>
  <si>
    <t>23082.000668/2026-37</t>
  </si>
  <si>
    <t>VALOR ANUAL</t>
  </si>
  <si>
    <t>VALOR EMPENHADO (TG)</t>
  </si>
  <si>
    <t>AUXILIO FINANCEIRO A ESTUDANTES</t>
  </si>
  <si>
    <t>SALDO NO EMPENHO (TG)</t>
  </si>
  <si>
    <t>NUCLEO ACESSIBILIDADE</t>
  </si>
  <si>
    <t>ANULAR (R$)</t>
  </si>
  <si>
    <t>M4002G23BSE</t>
  </si>
  <si>
    <t>MESES A EMPENHAR</t>
  </si>
  <si>
    <t>EMPENHAR (R$)</t>
  </si>
  <si>
    <t>SITUAÇÃO TG</t>
  </si>
  <si>
    <t>OCORRÊNCIAS TG</t>
  </si>
  <si>
    <t>001167/2026-78</t>
  </si>
  <si>
    <t>PROGRAMA DE APOIO A DISCENTE DA PÓS-GRADUAÇÃO (AUXÍLIO PADPG)</t>
  </si>
  <si>
    <t>PRPG</t>
  </si>
  <si>
    <t>20GK</t>
  </si>
  <si>
    <t>M20GKO94AXN</t>
  </si>
  <si>
    <t>2026NE000020</t>
  </si>
  <si>
    <t>S</t>
  </si>
  <si>
    <t>R$ 37.320,00</t>
  </si>
  <si>
    <t>R$ 2.875,00</t>
  </si>
  <si>
    <t>153165152392026NE000014</t>
  </si>
  <si>
    <t>AUXILIO FINANCEIRO A ESTUDANTES - OF. Nº 03/2026 - PROPLAD (DOC. Nº 200/2026 SIPAC)(BOLSA MONITORIA/TUTORIA/ BIA)</t>
  </si>
  <si>
    <t>23082.001167/2026-78</t>
  </si>
  <si>
    <t>REITORIA DE ENSINO E GRADUACAO</t>
  </si>
  <si>
    <t>M20GKG19BSN</t>
  </si>
  <si>
    <t>Cole futuras extrações somente nas colunas A:AC.</t>
  </si>
  <si>
    <t>153165152392026NE000015</t>
  </si>
  <si>
    <t>AUXILIO FINANCEIRO A ESTUDANTES - OF. Nº 03/2026 - PROPLAD (DOC. Nº 200/2026 SIPAC)(BOLSA PIBITI)</t>
  </si>
  <si>
    <t>NUCLEO DE EMPREENDEDORISMO E INOVACAO</t>
  </si>
  <si>
    <t>M20GKG20BSN</t>
  </si>
  <si>
    <t>000668/2026-37</t>
  </si>
  <si>
    <t>PROGRAMA TUTORIA POR PARES DO NÚCLEO DE ACESSIBILIDADE (BOLSA TUTORES)</t>
  </si>
  <si>
    <t>NACES</t>
  </si>
  <si>
    <t>2026NE000013</t>
  </si>
  <si>
    <t>N</t>
  </si>
  <si>
    <t>153165152392026NE000016</t>
  </si>
  <si>
    <t>AUXILIO FINANCEIRO A ESTUDANTES - OF. Nº 03/2026 - PROPLAD (DOC. Nº 200/2026 SIPAC)BOLSA PIBIC - PROPESQ</t>
  </si>
  <si>
    <t>PRO-REITORIA DE PESQUISA</t>
  </si>
  <si>
    <t>Estágios Curriculares e Práticas de Ensino (AJUDA DE CUSTO ESO)</t>
  </si>
  <si>
    <t>PREG</t>
  </si>
  <si>
    <t>M20GKG19AXN</t>
  </si>
  <si>
    <t>2026NE000056</t>
  </si>
  <si>
    <t>153165152392026NE000017</t>
  </si>
  <si>
    <t>AUXILIO FINANCEIRO A ESTUDANTES - OF. Nº 03/2026 - PROPLAD (DOC. Nº 200/2026 SIPAC)BOLSA PIBIC-AF - PROPESQ</t>
  </si>
  <si>
    <t>ATUALIZAÇÃO AUTOMÁTICA DOS SALDOS DE EMPENHOS</t>
  </si>
  <si>
    <t>A planilha usa o número do empenho (padrão 2026NE000000) para trazer EMP TOTAL e EMP A LIQ ATUAL da aba Base TG.</t>
  </si>
  <si>
    <t>153165152392026NE000018</t>
  </si>
  <si>
    <t>AUXILIO FINANCEIRO A ESTUDANTES - OF. Nº 03/2026 - PROPLAD (DOC. Nº 200/2026 SIPAC)BOLSA PIBIC-EM - PROPESQ</t>
  </si>
  <si>
    <t>COMO ATUALIZAR COM UMA NOVA EXTRAÇÃO</t>
  </si>
  <si>
    <t>1</t>
  </si>
  <si>
    <t>Abra a nova planilha extraída do Tesouro Gerencial.</t>
  </si>
  <si>
    <t>AUXÍLIOS PARA DESENVOLVIMENTO DE ESTUDOS E PESQUISA (AJUDA DE CUSTO PARA AULA PRÁTICA)</t>
  </si>
  <si>
    <t>2</t>
  </si>
  <si>
    <t>2026NE000057</t>
  </si>
  <si>
    <t>Na nova extração, copie as colunas A:AC, incluindo a linha de cabeçalhos.</t>
  </si>
  <si>
    <t>3</t>
  </si>
  <si>
    <t>Na aba Base TG deste arquivo, apague o conteúdo antigo apenas de A:AC e cole a nova extração em A1.</t>
  </si>
  <si>
    <t>153165152392026NE000019</t>
  </si>
  <si>
    <t>AUXILIO FINANCEIRO A ESTUDANTES - OF. Nº 03/2026 - PROPLAD (DOC. Nº 200/2026 SIPAC)BOLSA PAF - NINTER</t>
  </si>
  <si>
    <t>M20GKG21BSN</t>
  </si>
  <si>
    <t>4</t>
  </si>
  <si>
    <t>OUTROS AUXILIOS FINANCEIROS A PESSOA FISICA</t>
  </si>
  <si>
    <t>Volte à aba Bolsas e auxílios. As colunas U e V serão recalculadas automaticamente.</t>
  </si>
  <si>
    <t>NUCLEO DE INTERNACIONALIZACAO</t>
  </si>
  <si>
    <t>5</t>
  </si>
  <si>
    <t>Confira a coluna Z: verde = atualizado; amarelo = duplicado somado; vermelho = não localizado.</t>
  </si>
  <si>
    <t>CONFERÊNCIA ATUAL</t>
  </si>
  <si>
    <t>Indicador</t>
  </si>
  <si>
    <t>153165152392026NE000020</t>
  </si>
  <si>
    <t>AUXILIO FINANCEIRO A ESTUDANTES - OF. Nº 03/2026 - PROPLAD (DOC. Nº 200/2026 SIPAC)AUXILIO PADPG - PRPG</t>
  </si>
  <si>
    <t>Resultado</t>
  </si>
  <si>
    <t>Empenhos atualizados</t>
  </si>
  <si>
    <t>Programa Institucional de Bolsa de Extensão (AUXÍLIO BEXT) - PARCELA ÚNICA</t>
  </si>
  <si>
    <t>PRO-REITORIA DE POS-GRADUACAO-UFRPE</t>
  </si>
  <si>
    <t>PROEXC</t>
  </si>
  <si>
    <t>M20GKG21AXN</t>
  </si>
  <si>
    <t>2026NE000165</t>
  </si>
  <si>
    <t>Não localizados</t>
  </si>
  <si>
    <t>153165152392026NE000021</t>
  </si>
  <si>
    <t>AUXILIO FINANCEIRO A ESTUDANTES - OF. Nº 03/2026 - PROPLAD (DOC. Nº 200/2026 SIPAC)BOLSA CORO DA UFRPE - PROEXC</t>
  </si>
  <si>
    <t>Duplicados na base</t>
  </si>
  <si>
    <t>PRO-REITORIA DE EXTENSAO CULTURA E CIDADANIA</t>
  </si>
  <si>
    <t>Linhas sem empenho</t>
  </si>
  <si>
    <t>153165152392026NE000022</t>
  </si>
  <si>
    <t>Empenhos fora do controle</t>
  </si>
  <si>
    <t>AUXILIO FINANCEIRO A ESTUDANTES - OF. Nº 03/2026 - PROPLAD (DOC. Nº 200/2026 SIPAC)BOLSA BEXT - PROEXC</t>
  </si>
  <si>
    <t>Total do saldo atualizado</t>
  </si>
  <si>
    <t>PROGRAMA DE INICIAÇÃO AO EMPREENDEDORISMO (BOLSA PIEMP)</t>
  </si>
  <si>
    <t>NEI</t>
  </si>
  <si>
    <t>-</t>
  </si>
  <si>
    <t>153165152392026NE000056</t>
  </si>
  <si>
    <t>AUXILIO FINANCEIRO A ESTUDANTES - DESPACHO Nº 3367/2026 - PROPLADAJUDA DE CUSTO ESO - PREG</t>
  </si>
  <si>
    <t>153165152392026NE000057</t>
  </si>
  <si>
    <t>AUXILIO FINANCEIRO A ESTUDANTES - DESPACHO Nº 3367/2026 - PROPLADAJUDA DE CUSTO PARA AULA PRATICA - PREG</t>
  </si>
  <si>
    <t>PROGRAMA DE MONITORIA/TUTORIA/BIA CONTRAPARTIDA (BOLSA MONITORIA/TUTORIA/BIA)</t>
  </si>
  <si>
    <t>2026NE000014</t>
  </si>
  <si>
    <t>153165152392026NE000058</t>
  </si>
  <si>
    <t>AUXILIO FINANCEIRO A ESTUDANTES - DESPACHO Nº 3367/2026 - PROPLADAUXILIO FINANCEIRO PROMISAES - PREG</t>
  </si>
  <si>
    <t>M4002G23AXN</t>
  </si>
  <si>
    <t>153165152392026NE000165</t>
  </si>
  <si>
    <t>AUXILIO FINANCEIRO A ESTUDANTES - DESPACHO Nº 7051/2026 - PROPLAD</t>
  </si>
  <si>
    <t>PROGRAMA INSTITUCIONAL DE INICIAÇÃO CIENTÍFICA E DESENVOLVIMENTO TECNOLÓGICO E INOVAÇÃO (BOLSA PIBITI)</t>
  </si>
  <si>
    <t>2026NE000015</t>
  </si>
  <si>
    <t>153165152392026NE000231</t>
  </si>
  <si>
    <t>AUXILIO FINANCEIRO A ESTUDANTES - OF. Nº 05/2026/NINTER (DOC. Nº 499/2026 SIPAC)BOLSA IDIOMA SEM FRONTEIRAS</t>
  </si>
  <si>
    <t>23082.002429/2026-11</t>
  </si>
  <si>
    <t>21GS</t>
  </si>
  <si>
    <t>M21GSG21BSN</t>
  </si>
  <si>
    <t>PROGRAMA INSTITUCIONAL DE BOLSAS DE INICIAÇÃO CIENTÍFICA (BOLSA PIBIC)</t>
  </si>
  <si>
    <t>PROPESQ</t>
  </si>
  <si>
    <t>2026NE000016</t>
  </si>
  <si>
    <t>153165152392026NE000232</t>
  </si>
  <si>
    <t>AUXILIO FINANCEIRO A ESTUDANTES - OF. Nº 05/2026/NINTER (DOC. Nº 499/2026 SIPAC)BOLSA PEPRI</t>
  </si>
  <si>
    <t>PROGRAMA DE INICIAÇÃO CIENTÍFICA - AÇÕES AFIRMATIVAS (BOLSA PIBIC-AF)</t>
  </si>
  <si>
    <t>2026NE000017</t>
  </si>
  <si>
    <t>153165152392026NE000237</t>
  </si>
  <si>
    <t>PROGRAMA DE INICIAÇÃO CIENTÍFICA - ENSINO MÉDIO (BOLSA PIBIC-EM)</t>
  </si>
  <si>
    <t>2026NE000018</t>
  </si>
  <si>
    <t>153165152392026NE000292</t>
  </si>
  <si>
    <t>AUXILIO FINANCEIRO A ESTUDANTES - OF. Nº 004/2026/PROEXC (DOC. Nº 873/2026 SIPAC)</t>
  </si>
  <si>
    <t>23082.004309/2026-59</t>
  </si>
  <si>
    <t>Programa Institucional de Bolsa de Extensão (BOLSA CORO DA UFRPE)</t>
  </si>
  <si>
    <t>153165152392026NE000436</t>
  </si>
  <si>
    <t>AUXILIO FINANCEIRO A ESTUDANTES - OF. Nº 001/2026 NEI-IPE (DOC. Nº 3235/2026 SIPAC)BOLSA PIEMP UFRPE/CNPQ 2026</t>
  </si>
  <si>
    <t>2026NE000021</t>
  </si>
  <si>
    <t>Programa Estudante-Convênio de Graduação - PEC-G (AUXÍLIO FINANCEIRO PROMISAES)</t>
  </si>
  <si>
    <t>2026NE000058</t>
  </si>
  <si>
    <t>Programa Institucional de Bolsa de Extensão (BOLSA BEXT)</t>
  </si>
  <si>
    <t>2026NE000022</t>
  </si>
  <si>
    <t>002429/2026-11</t>
  </si>
  <si>
    <t>REDE ANDIFES NACIONAL DE ESPECIALISTAS EM LÍNGUA ESTRANGEIRA (BOLSA REDE ANDIFES IsF)</t>
  </si>
  <si>
    <t>NINTER</t>
  </si>
  <si>
    <t>2026NE000231</t>
  </si>
  <si>
    <t>PROGRAMA DE ENSINO PRESENCIAL E REMOTO DE IDIOMAS (BOLSA PEPRI)</t>
  </si>
  <si>
    <t>2026NE000232</t>
  </si>
  <si>
    <t>PROGRAMA ASSISTENTE DE FRANCÊS (BOLSA PAF)</t>
  </si>
  <si>
    <t>2026NE000237</t>
  </si>
  <si>
    <t>004309/2026-59</t>
  </si>
  <si>
    <t xml:space="preserve">BOLSAS DE APOIO INSTITUCIONAL ÀS AÇÕES DE EXTENSÃO E CULTURA </t>
  </si>
  <si>
    <t>230384</t>
  </si>
  <si>
    <t>2026NE000292</t>
  </si>
  <si>
    <t>PROGRAMA DE ENSINO PRESENCIAL E REMOTO DE IDIOMAS (BOLSA PEPRI) - COMPLEMENTO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</si>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</sst>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0"/>
    <numFmt numFmtId="165" formatCode="#,##0.00;[Red]\(#,##0.00\)"/>
    <numFmt numFmtId="166" formatCode="#,##0_);\(#,##0\)"/>
    <numFmt numFmtId="167" formatCode="[$R$ -416]#,##0.00"/>
    <numFmt numFmtId="168" formatCode="#,##0.00_);\(#,##0.00\)"/>
    <numFmt numFmtId="169" formatCode="#,##0;[Red]\(#,##0\)"/>
    <numFmt numFmtId="170" formatCode="#,##0.00_ "/>
  </numFmts>
  <fonts count="29">
    <font>
      <sz val="11.0"/>
      <color rgb="FF000000"/>
      <name val="Calibri"/>
      <scheme val="minor"/>
    </font>
    <font>
      <sz val="11.0"/>
      <color rgb="FF000000"/>
      <name val="&quot;Aptos Narrow&quot;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theme="1"/>
      <name val="Calibri"/>
    </font>
    <font>
      <b/>
      <sz val="9.0"/>
      <color rgb="FFFFFFFF"/>
      <name val="Arial"/>
    </font>
    <font>
      <sz val="11.0"/>
      <color theme="1"/>
      <name val="Calibri"/>
    </font>
    <font>
      <sz val="8.0"/>
      <color rgb="FF000000"/>
      <name val="Arial"/>
    </font>
    <font>
      <sz val="8.0"/>
      <color theme="1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color theme="1"/>
      <name val="Calibri"/>
      <scheme val="minor"/>
    </font>
    <font>
      <sz val="8.0"/>
      <color rgb="FF25396E"/>
      <name val="Arial"/>
    </font>
    <font>
      <b/>
      <sz val="8.0"/>
      <color rgb="FF274E13"/>
      <name val="Arial"/>
    </font>
    <font>
      <b/>
      <sz val="8.0"/>
      <color rgb="FFFFFFFF"/>
      <name val="Arial"/>
    </font>
    <font>
      <color theme="1"/>
      <name val="Calibri"/>
    </font>
    <font>
      <sz val="11.0"/>
      <color rgb="FF4EA72E"/>
      <name val="Arial"/>
    </font>
    <font>
      <b/>
      <sz val="16.0"/>
      <color rgb="FFFFFFFF"/>
      <name val="Arial"/>
    </font>
    <font/>
    <font>
      <sz val="10.0"/>
      <color rgb="FF1F1F1F"/>
      <name val="Arial"/>
    </font>
    <font>
      <b/>
      <sz val="11.0"/>
      <color rgb="FF274E13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8.0"/>
      <color rgb="FFFF0000"/>
      <name val="Arial"/>
    </font>
    <font>
      <sz val="9.0"/>
      <color rgb="FF000000"/>
      <name val="Arial"/>
    </font>
    <font>
      <b/>
      <sz val="10.0"/>
      <color rgb="FF274E13"/>
      <name val="Arial"/>
    </font>
    <font>
      <sz val="11.0"/>
      <color rgb="FF000000"/>
      <name val="Calibri"/>
    </font>
    <font>
      <sz val="8.0"/>
      <color rgb="FF4A4A4A"/>
      <name val="Arial"/>
    </font>
    <font>
      <b/>
      <sz val="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AF0"/>
        <bgColor rgb="FFF3FAF0"/>
      </patternFill>
    </fill>
    <fill>
      <patternFill patternType="solid">
        <fgColor rgb="FFD9EAF7"/>
        <bgColor rgb="FFD9EAF7"/>
      </patternFill>
    </fill>
    <fill>
      <patternFill patternType="solid">
        <fgColor theme="0"/>
        <bgColor theme="0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0C0C0"/>
      </left>
      <bottom style="thin">
        <color rgb="FFC0C0C0"/>
      </bottom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top/>
      <bottom/>
    </border>
    <border>
      <top/>
      <bottom/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0" fillId="0" fontId="2" numFmtId="49" xfId="0" applyAlignment="1" applyFont="1" applyNumberFormat="1">
      <alignment horizontal="left" vertical="center"/>
    </xf>
    <xf borderId="2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3" fillId="2" fontId="5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/>
    </xf>
    <xf borderId="0" fillId="0" fontId="6" numFmtId="166" xfId="0" applyFont="1" applyNumberFormat="1"/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7" fillId="0" fontId="8" numFmtId="164" xfId="0" applyAlignment="1" applyBorder="1" applyFont="1" applyNumberFormat="1">
      <alignment horizontal="center" shrinkToFit="0" vertical="center" wrapText="1"/>
    </xf>
    <xf borderId="7" fillId="0" fontId="8" numFmtId="1" xfId="0" applyAlignment="1" applyBorder="1" applyFont="1" applyNumberFormat="1">
      <alignment horizontal="center" shrinkToFit="0" vertical="center" wrapText="1"/>
    </xf>
    <xf borderId="10" fillId="0" fontId="9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Font="1"/>
    <xf borderId="11" fillId="3" fontId="12" numFmtId="0" xfId="0" applyAlignment="1" applyBorder="1" applyFill="1" applyFont="1">
      <alignment horizontal="left"/>
    </xf>
    <xf borderId="7" fillId="0" fontId="8" numFmtId="4" xfId="0" applyAlignment="1" applyBorder="1" applyFont="1" applyNumberFormat="1">
      <alignment horizontal="center" shrinkToFit="0" vertical="center" wrapText="1"/>
    </xf>
    <xf borderId="7" fillId="4" fontId="13" numFmtId="166" xfId="0" applyAlignment="1" applyBorder="1" applyFill="1" applyFont="1" applyNumberFormat="1">
      <alignment horizontal="center" shrinkToFit="0" vertical="center" wrapText="1"/>
    </xf>
    <xf borderId="0" fillId="0" fontId="9" numFmtId="167" xfId="0" applyAlignment="1" applyFont="1" applyNumberFormat="1">
      <alignment horizontal="center"/>
    </xf>
    <xf borderId="7" fillId="3" fontId="8" numFmtId="0" xfId="0" applyAlignment="1" applyBorder="1" applyFont="1">
      <alignment horizontal="center" shrinkToFit="0" vertical="center" wrapText="1"/>
    </xf>
    <xf borderId="11" fillId="3" fontId="7" numFmtId="168" xfId="0" applyAlignment="1" applyBorder="1" applyFont="1" applyNumberFormat="1">
      <alignment horizontal="right" shrinkToFit="0" wrapText="0"/>
    </xf>
    <xf borderId="7" fillId="0" fontId="7" numFmtId="0" xfId="0" applyAlignment="1" applyBorder="1" applyFont="1">
      <alignment horizontal="center"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shrinkToFit="0" wrapText="1"/>
    </xf>
    <xf borderId="7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vertical="center" wrapText="1"/>
    </xf>
    <xf borderId="7" fillId="0" fontId="8" numFmtId="49" xfId="0" applyAlignment="1" applyBorder="1" applyFont="1" applyNumberFormat="1">
      <alignment horizontal="center" vertical="center"/>
    </xf>
    <xf borderId="0" fillId="0" fontId="15" numFmtId="0" xfId="0" applyAlignment="1" applyFont="1">
      <alignment shrinkToFit="0" wrapText="1"/>
    </xf>
    <xf borderId="12" fillId="3" fontId="7" numFmtId="168" xfId="0" applyAlignment="1" applyBorder="1" applyFont="1" applyNumberFormat="1">
      <alignment horizontal="right" shrinkToFit="0" wrapText="0"/>
    </xf>
    <xf borderId="7" fillId="0" fontId="8" numFmtId="1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/>
    </xf>
    <xf borderId="0" fillId="0" fontId="16" numFmtId="0" xfId="0" applyAlignment="1" applyFont="1">
      <alignment horizontal="center"/>
    </xf>
    <xf borderId="13" fillId="0" fontId="7" numFmtId="0" xfId="0" applyAlignment="1" applyBorder="1" applyFont="1">
      <alignment shrinkToFit="0" wrapText="1"/>
    </xf>
    <xf borderId="7" fillId="0" fontId="8" numFmtId="4" xfId="0" applyAlignment="1" applyBorder="1" applyFont="1" applyNumberFormat="1">
      <alignment horizontal="center" vertical="center"/>
    </xf>
    <xf borderId="13" fillId="0" fontId="7" numFmtId="14" xfId="0" applyAlignment="1" applyBorder="1" applyFont="1" applyNumberFormat="1">
      <alignment shrinkToFit="0" wrapText="1"/>
    </xf>
    <xf borderId="7" fillId="5" fontId="8" numFmtId="165" xfId="0" applyAlignment="1" applyBorder="1" applyFill="1" applyFont="1" applyNumberFormat="1">
      <alignment horizontal="center" vertical="center"/>
    </xf>
    <xf borderId="14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7" fillId="3" fontId="8" numFmtId="164" xfId="0" applyAlignment="1" applyBorder="1" applyFont="1" applyNumberFormat="1">
      <alignment horizontal="center" shrinkToFit="0" vertical="center" wrapText="1"/>
    </xf>
    <xf borderId="15" fillId="2" fontId="17" numFmtId="0" xfId="0" applyAlignment="1" applyBorder="1" applyFont="1">
      <alignment horizontal="center" vertical="center"/>
    </xf>
    <xf borderId="16" fillId="0" fontId="18" numFmtId="0" xfId="0" applyBorder="1" applyFont="1"/>
    <xf borderId="15" fillId="6" fontId="19" numFmtId="0" xfId="0" applyAlignment="1" applyBorder="1" applyFill="1" applyFont="1">
      <alignment shrinkToFit="0" vertical="center" wrapText="1"/>
    </xf>
    <xf borderId="15" fillId="4" fontId="20" numFmtId="0" xfId="0" applyBorder="1" applyFont="1"/>
    <xf borderId="3" fillId="2" fontId="21" numFmtId="0" xfId="0" applyAlignment="1" applyBorder="1" applyFont="1">
      <alignment horizontal="center" vertical="center"/>
    </xf>
    <xf borderId="17" fillId="0" fontId="22" numFmtId="0" xfId="0" applyAlignment="1" applyBorder="1" applyFont="1">
      <alignment shrinkToFit="0" vertical="center" wrapText="1"/>
    </xf>
    <xf borderId="18" fillId="0" fontId="18" numFmtId="0" xfId="0" applyBorder="1" applyFont="1"/>
    <xf borderId="19" fillId="0" fontId="18" numFmtId="0" xfId="0" applyBorder="1" applyFont="1"/>
    <xf borderId="3" fillId="2" fontId="5" numFmtId="0" xfId="0" applyBorder="1" applyFont="1"/>
    <xf borderId="7" fillId="0" fontId="23" numFmtId="0" xfId="0" applyAlignment="1" applyBorder="1" applyFont="1">
      <alignment horizontal="center" vertical="center"/>
    </xf>
    <xf borderId="3" fillId="0" fontId="24" numFmtId="0" xfId="0" applyBorder="1" applyFont="1"/>
    <xf borderId="7" fillId="0" fontId="23" numFmtId="0" xfId="0" applyAlignment="1" applyBorder="1" applyFont="1">
      <alignment horizontal="left" shrinkToFit="0" vertical="center" wrapText="1"/>
    </xf>
    <xf borderId="7" fillId="0" fontId="23" numFmtId="49" xfId="0" applyAlignment="1" applyBorder="1" applyFont="1" applyNumberFormat="1">
      <alignment horizontal="center" vertical="center"/>
    </xf>
    <xf borderId="7" fillId="3" fontId="23" numFmtId="0" xfId="0" applyAlignment="1" applyBorder="1" applyFont="1">
      <alignment horizontal="center" shrinkToFit="0" vertical="center" wrapText="1"/>
    </xf>
    <xf borderId="7" fillId="3" fontId="23" numFmtId="164" xfId="0" applyAlignment="1" applyBorder="1" applyFont="1" applyNumberFormat="1">
      <alignment horizontal="center" shrinkToFit="0" vertical="center" wrapText="1"/>
    </xf>
    <xf borderId="3" fillId="5" fontId="25" numFmtId="0" xfId="0" applyAlignment="1" applyBorder="1" applyFont="1">
      <alignment horizontal="center"/>
    </xf>
    <xf borderId="7" fillId="0" fontId="23" numFmtId="1" xfId="0" applyAlignment="1" applyBorder="1" applyFont="1" applyNumberFormat="1">
      <alignment horizontal="center" vertical="center"/>
    </xf>
    <xf borderId="7" fillId="3" fontId="23" numFmtId="4" xfId="0" applyAlignment="1" applyBorder="1" applyFont="1" applyNumberFormat="1">
      <alignment horizontal="center" shrinkToFit="0" vertical="center" wrapText="1"/>
    </xf>
    <xf borderId="7" fillId="0" fontId="23" numFmtId="4" xfId="0" applyAlignment="1" applyBorder="1" applyFont="1" applyNumberFormat="1">
      <alignment horizontal="center" vertical="center"/>
    </xf>
    <xf borderId="3" fillId="5" fontId="25" numFmtId="4" xfId="0" applyAlignment="1" applyBorder="1" applyFont="1" applyNumberFormat="1">
      <alignment horizontal="center"/>
    </xf>
    <xf borderId="7" fillId="0" fontId="23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horizontal="center" readingOrder="0" vertical="center"/>
    </xf>
    <xf borderId="7" fillId="5" fontId="23" numFmtId="165" xfId="0" applyAlignment="1" applyBorder="1" applyFont="1" applyNumberFormat="1">
      <alignment horizontal="center" vertical="center"/>
    </xf>
    <xf borderId="14" fillId="0" fontId="23" numFmtId="0" xfId="0" applyAlignment="1" applyBorder="1" applyFont="1">
      <alignment horizontal="center" vertical="center"/>
    </xf>
    <xf borderId="14" fillId="0" fontId="7" numFmtId="4" xfId="0" applyAlignment="1" applyBorder="1" applyFont="1" applyNumberFormat="1">
      <alignment horizontal="center" vertical="center"/>
    </xf>
    <xf borderId="11" fillId="3" fontId="7" numFmtId="165" xfId="0" applyAlignment="1" applyBorder="1" applyFont="1" applyNumberFormat="1">
      <alignment horizontal="right" shrinkToFit="0" wrapText="0"/>
    </xf>
    <xf borderId="12" fillId="3" fontId="7" numFmtId="165" xfId="0" applyAlignment="1" applyBorder="1" applyFont="1" applyNumberFormat="1">
      <alignment horizontal="right" shrinkToFit="0" wrapText="0"/>
    </xf>
    <xf borderId="0" fillId="0" fontId="26" numFmtId="165" xfId="0" applyFont="1" applyNumberFormat="1"/>
    <xf borderId="0" fillId="0" fontId="15" numFmtId="0" xfId="0" applyFont="1"/>
    <xf borderId="7" fillId="7" fontId="8" numFmtId="0" xfId="0" applyAlignment="1" applyBorder="1" applyFill="1" applyFont="1">
      <alignment shrinkToFit="0" vertical="center" wrapText="1"/>
    </xf>
    <xf borderId="7" fillId="7" fontId="8" numFmtId="49" xfId="0" applyAlignment="1" applyBorder="1" applyFont="1" applyNumberFormat="1">
      <alignment horizontal="center" vertical="center"/>
    </xf>
    <xf borderId="7" fillId="7" fontId="8" numFmtId="0" xfId="0" applyAlignment="1" applyBorder="1" applyFont="1">
      <alignment horizontal="center" vertical="center"/>
    </xf>
    <xf borderId="7" fillId="7" fontId="8" numFmtId="0" xfId="0" applyAlignment="1" applyBorder="1" applyFont="1">
      <alignment horizontal="center" shrinkToFit="0" vertical="center" wrapText="1"/>
    </xf>
    <xf borderId="7" fillId="7" fontId="8" numFmtId="164" xfId="0" applyAlignment="1" applyBorder="1" applyFont="1" applyNumberFormat="1">
      <alignment horizontal="center" shrinkToFit="0" vertical="center" wrapText="1"/>
    </xf>
    <xf borderId="7" fillId="7" fontId="8" numFmtId="4" xfId="0" applyAlignment="1" applyBorder="1" applyFont="1" applyNumberFormat="1">
      <alignment horizontal="center" vertical="center"/>
    </xf>
    <xf borderId="7" fillId="7" fontId="8" numFmtId="0" xfId="0" applyAlignment="1" applyBorder="1" applyFont="1">
      <alignment horizontal="left" shrinkToFit="0" vertical="center" wrapText="1"/>
    </xf>
    <xf borderId="7" fillId="3" fontId="27" numFmtId="0" xfId="0" applyAlignment="1" applyBorder="1" applyFont="1">
      <alignment horizontal="center" shrinkToFit="0" vertical="center" wrapText="1"/>
    </xf>
    <xf borderId="7" fillId="0" fontId="8" numFmtId="164" xfId="0" applyAlignment="1" applyBorder="1" applyFont="1" applyNumberFormat="1">
      <alignment horizontal="center" vertical="center"/>
    </xf>
    <xf borderId="7" fillId="0" fontId="28" numFmtId="0" xfId="0" applyAlignment="1" applyBorder="1" applyFont="1">
      <alignment horizontal="center" vertical="center"/>
    </xf>
    <xf borderId="7" fillId="0" fontId="28" numFmtId="4" xfId="0" applyAlignment="1" applyBorder="1" applyFont="1" applyNumberFormat="1">
      <alignment horizontal="center" vertical="center"/>
    </xf>
    <xf borderId="7" fillId="7" fontId="8" numFmtId="0" xfId="0" applyAlignment="1" applyBorder="1" applyFont="1">
      <alignment horizontal="left" readingOrder="0" shrinkToFit="0" vertical="center" wrapText="1"/>
    </xf>
    <xf borderId="7" fillId="7" fontId="8" numFmtId="0" xfId="0" applyAlignment="1" applyBorder="1" applyFont="1">
      <alignment horizontal="center" readingOrder="0" vertical="center"/>
    </xf>
    <xf borderId="7" fillId="7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vertical="center"/>
    </xf>
    <xf borderId="7" fillId="7" fontId="8" numFmtId="4" xfId="0" applyAlignment="1" applyBorder="1" applyFont="1" applyNumberFormat="1">
      <alignment horizontal="center" readingOrder="0" vertical="center"/>
    </xf>
    <xf borderId="7" fillId="0" fontId="8" numFmtId="4" xfId="0" applyAlignment="1" applyBorder="1" applyFont="1" applyNumberFormat="1">
      <alignment horizontal="center" readingOrder="0" vertical="center"/>
    </xf>
    <xf borderId="0" fillId="0" fontId="7" numFmtId="0" xfId="0" applyFont="1"/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8" numFmtId="4" xfId="0" applyAlignment="1" applyFont="1" applyNumberFormat="1">
      <alignment horizontal="center" vertical="center"/>
    </xf>
    <xf borderId="0" fillId="0" fontId="28" numFmtId="165" xfId="0" applyAlignment="1" applyFont="1" applyNumberFormat="1">
      <alignment horizontal="center" vertical="center"/>
    </xf>
    <xf borderId="0" fillId="0" fontId="28" numFmtId="166" xfId="0" applyAlignment="1" applyFont="1" applyNumberFormat="1">
      <alignment horizontal="center" vertical="center"/>
    </xf>
    <xf borderId="0" fillId="0" fontId="28" numFmtId="169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20" fillId="3" fontId="22" numFmtId="0" xfId="0" applyAlignment="1" applyBorder="1" applyFont="1">
      <alignment horizontal="right" vertical="center"/>
    </xf>
    <xf borderId="0" fillId="0" fontId="3" numFmtId="4" xfId="0" applyFont="1" applyNumberFormat="1"/>
    <xf borderId="0" fillId="0" fontId="3" numFmtId="166" xfId="0" applyFont="1" applyNumberFormat="1"/>
    <xf borderId="20" fillId="3" fontId="7" numFmtId="166" xfId="0" applyAlignment="1" applyBorder="1" applyFont="1" applyNumberFormat="1">
      <alignment horizontal="right" vertical="center"/>
    </xf>
    <xf borderId="0" fillId="0" fontId="26" numFmtId="4" xfId="0" applyFont="1" applyNumberFormat="1"/>
    <xf borderId="0" fillId="0" fontId="26" numFmtId="170" xfId="0" applyFont="1" applyNumberFormat="1"/>
    <xf borderId="0" fillId="0" fontId="3" numFmtId="0" xfId="0" applyFont="1"/>
    <xf borderId="0" fillId="0" fontId="3" numFmtId="4" xfId="0" applyAlignment="1" applyFont="1" applyNumberFormat="1">
      <alignment readingOrder="0"/>
    </xf>
    <xf borderId="0" fillId="0" fontId="26" numFmtId="166" xfId="0" applyFont="1" applyNumberFormat="1"/>
  </cellXfs>
  <cellStyles count="1">
    <cellStyle xfId="0" name="Normal" builtinId="0"/>
  </cellStyles>
  <dxfs count="6">
    <dxf>
      <font>
        <b/>
        <color rgb="FF375623"/>
      </font>
      <fill>
        <patternFill patternType="solid">
          <fgColor rgb="FFE2F0D9"/>
          <bgColor rgb="FFE2F0D9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9C6500"/>
      </font>
      <fill>
        <patternFill patternType="solid">
          <fgColor rgb="FFFFF2CC"/>
          <bgColor rgb="FFFFF2CC"/>
        </patternFill>
      </fill>
      <border/>
    </dxf>
    <dxf>
      <font>
        <color rgb="FF595959"/>
      </font>
      <fill>
        <patternFill patternType="solid">
          <fgColor rgb="FFE7E6E6"/>
          <bgColor rgb="FFE7E6E6"/>
        </patternFill>
      </fill>
      <border/>
    </dxf>
    <dxf>
      <font>
        <color rgb="FF375623"/>
      </font>
      <fill>
        <patternFill patternType="solid">
          <fgColor rgb="FFE2F0D9"/>
          <bgColor rgb="FFE2F0D9"/>
        </patternFill>
      </fill>
      <border/>
    </dxf>
    <dxf>
      <font>
        <b/>
        <color rgb="FFC00000"/>
      </font>
      <fill>
        <patternFill patternType="solid">
          <fgColor rgb="FFFCE4D6"/>
          <bgColor rgb="FFFCE4D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Y22" sheet="Bolsas e auxílios"/>
  </cacheSource>
  <cacheFields>
    <cacheField name="PROCESSO" numFmtId="0">
      <sharedItems>
        <s v="001167/2026-78"/>
        <s v="000668/2026-37"/>
        <s v="002429/2026-11"/>
        <s v="004309/2026-59"/>
      </sharedItems>
    </cacheField>
    <cacheField name="ITEM DE DESPESA" numFmtId="0">
      <sharedItems>
        <s v="PROGRAMA DE APOIO A DISCENTE DA PÓS-GRADUAÇÃO (AUXÍLIO PADPG)"/>
        <s v="PROGRAMA TUTORIA POR PARES DO NÚCLEO DE ACESSIBILIDADE (BOLSA TUTORES)"/>
        <s v="Estágios Curriculares e Práticas de Ensino (AJUDA DE CUSTO ESO)"/>
        <s v="AUXÍLIOS PARA DESENVOLVIMENTO DE ESTUDOS E PESQUISA (AJUDA DE CUSTO PARA AULA PRÁTICA)"/>
        <s v="Programa Institucional de Bolsa de Extensão (AUXÍLIO BEXT) - PARCELA ÚNICA"/>
        <s v="PROGRAMA DE INICIAÇÃO AO EMPREENDEDORISMO (BOLSA PIEMP)"/>
        <s v="PROGRAMA DE MONITORIA/TUTORIA/BIA CONTRAPARTIDA (BOLSA MONITORIA/TUTORIA/BIA)"/>
        <s v="PROGRAMA INSTITUCIONAL DE INICIAÇÃO CIENTÍFICA E DESENVOLVIMENTO TECNOLÓGICO E INOVAÇÃO (BOLSA PIBITI)"/>
        <s v="PROGRAMA INSTITUCIONAL DE BOLSAS DE INICIAÇÃO CIENTÍFICA (BOLSA PIBIC)"/>
        <s v="PROGRAMA DE INICIAÇÃO CIENTÍFICA - AÇÕES AFIRMATIVAS (BOLSA PIBIC-AF)"/>
        <s v="PROGRAMA DE INICIAÇÃO CIENTÍFICA - ENSINO MÉDIO (BOLSA PIBIC-EM)"/>
        <s v="Programa Institucional de Bolsa de Extensão (BOLSA CORO DA UFRPE)"/>
        <s v="Programa Estudante-Convênio de Graduação - PEC-G (AUXÍLIO FINANCEIRO PROMISAES)"/>
        <s v="Programa Institucional de Bolsa de Extensão (BOLSA BEXT)"/>
        <s v="REDE ANDIFES NACIONAL DE ESPECIALISTAS EM LÍNGUA ESTRANGEIRA (BOLSA REDE ANDIFES IsF)"/>
        <s v="PROGRAMA DE ENSINO PRESENCIAL E REMOTO DE IDIOMAS (BOLSA PEPRI)"/>
        <s v="PROGRAMA ASSISTENTE DE FRANCÊS (BOLSA PAF)"/>
        <s v="BOLSAS DE APOIO INSTITUCIONAL ÀS AÇÕES DE EXTENSÃO E CULTURA "/>
      </sharedItems>
    </cacheField>
    <cacheField name="UNIDADE" numFmtId="49">
      <sharedItems>
        <s v="PRPG"/>
        <s v="NACES"/>
        <s v="PREG"/>
        <s v="PROEXC"/>
        <s v="NEI"/>
        <s v="PROPESQ"/>
        <s v="NINTER"/>
      </sharedItems>
    </cacheField>
    <cacheField name="AÇÃO">
      <sharedItems containsMixedTypes="1" containsNumber="1" containsInteger="1">
        <s v="20GK"/>
        <n v="4002.0"/>
        <s v="21GS"/>
      </sharedItems>
    </cacheField>
    <cacheField name="PTRES">
      <sharedItems containsMixedTypes="1" containsNumber="1" containsInteger="1">
        <n v="230389.0"/>
        <n v="230396.0"/>
        <n v="230395.0"/>
        <n v="230404.0"/>
        <n v="230399.0"/>
        <s v="230384"/>
      </sharedItems>
    </cacheField>
    <cacheField name="FONTE" numFmtId="164">
      <sharedItems containsSemiMixedTypes="0" containsString="0" containsNumber="1" containsInteger="1">
        <n v="1000.0"/>
      </sharedItems>
    </cacheField>
    <cacheField name="ND" numFmtId="0">
      <sharedItems containsSemiMixedTypes="0" containsString="0" containsNumber="1" containsInteger="1">
        <n v="339018.0"/>
        <n v="339048.0"/>
      </sharedItems>
    </cacheField>
    <cacheField name="UGR" numFmtId="0">
      <sharedItems containsSemiMixedTypes="0" containsString="0" containsNumber="1" containsInteger="1">
        <n v="151931.0"/>
        <n v="157681.0"/>
        <n v="157684.0"/>
        <n v="157773.0"/>
        <n v="157665.0"/>
        <n v="157736.0"/>
        <n v="157666.0"/>
      </sharedItems>
    </cacheField>
    <cacheField name="PI" numFmtId="0">
      <sharedItems>
        <s v="M20GKO94AXN"/>
        <s v="M4002G23BSE"/>
        <s v="M20GKG19AXN"/>
        <s v="M20GKG21AXN"/>
        <s v="M20GKG20BSN"/>
        <s v="M20GKG19BSN"/>
        <s v="M20GKG21BSN"/>
        <s v="M4002G23AXN"/>
        <s v="M21GSG21BSN"/>
      </sharedItems>
    </cacheField>
    <cacheField name="EMPENHO" numFmtId="0">
      <sharedItems>
        <s v="2026NE000020"/>
        <s v="2026NE000013"/>
        <s v="2026NE000056"/>
        <s v="2026NE000057"/>
        <s v="2026NE000165"/>
        <s v="-"/>
        <s v="2026NE000014"/>
        <s v="2026NE000015"/>
        <s v="2026NE000016"/>
        <s v="2026NE000017"/>
        <s v="2026NE000018"/>
        <s v="2026NE000021"/>
        <s v="2026NE000058"/>
        <s v="2026NE000022"/>
        <s v="2026NE000231"/>
        <s v="2026NE000232"/>
        <s v="2026NE000237"/>
        <s v="2026NE000292"/>
      </sharedItems>
    </cacheField>
    <cacheField name="S/N" numFmtId="1">
      <sharedItems containsBlank="1">
        <s v="S"/>
        <s v="N"/>
        <m/>
      </sharedItems>
    </cacheField>
    <cacheField name="MESES DE SALDO" numFmtId="1">
      <sharedItems containsString="0" containsBlank="1" containsNumber="1">
        <n v="0.9238095238095239"/>
        <n v="0.0"/>
        <n v="0.9661973333333332"/>
        <n v="2.8907666666666665"/>
        <m/>
        <n v="0.14222222222222222"/>
        <n v="1.2"/>
        <n v="0.01"/>
        <n v="0.6666666666666666"/>
      </sharedItems>
    </cacheField>
    <cacheField name="MESES EMPENHADOS" numFmtId="1">
      <sharedItems containsString="0" containsBlank="1" containsNumber="1">
        <n v="4.766666666666667"/>
        <n v="6.7272727272727275"/>
        <n v="7.766666666666667"/>
        <n v="7.233333333333333"/>
        <n v="1.0"/>
        <m/>
        <n v="6.614444444444445"/>
        <n v="7.0"/>
        <n v="6.95"/>
        <n v="5.55"/>
        <n v="5.0"/>
        <n v="6.0"/>
        <n v="5.333333333333333"/>
        <n v="0.0"/>
      </sharedItems>
    </cacheField>
    <cacheField name="MESES LIQUIDADOS" numFmtId="1">
      <sharedItems containsString="0" containsBlank="1" containsNumber="1">
        <n v="3.842857142857143"/>
        <n v="6.7272727272727275"/>
        <n v="6.800469333333334"/>
        <n v="4.3425666666666665"/>
        <n v="1.0"/>
        <m/>
        <n v="6.472222222222222"/>
        <n v="7.0"/>
        <n v="6.95"/>
        <n v="4.35"/>
        <n v="5.0"/>
        <n v="5.99"/>
        <n v="4.666666666666667"/>
        <n v="6.0"/>
        <n v="0.0"/>
      </sharedItems>
    </cacheField>
    <cacheField name="MESES NO ANO" numFmtId="0">
      <sharedItems containsSemiMixedTypes="0" containsString="0" containsNumber="1" containsInteger="1">
        <n v="12.0"/>
        <n v="1.0"/>
        <n v="5.0"/>
        <n v="11.0"/>
        <n v="10.0"/>
      </sharedItems>
    </cacheField>
    <cacheField name="QUANT. INICIAL" numFmtId="0">
      <sharedItems containsSemiMixedTypes="0" containsString="0" containsNumber="1" containsInteger="1">
        <n v="30.0"/>
        <n v="21.0"/>
        <n v="1.0"/>
        <n v="100.0"/>
        <n v="0.0"/>
        <n v="220.0"/>
        <n v="2.0"/>
        <n v="65.0"/>
        <n v="20.0"/>
        <n v="6.0"/>
        <n v="5.0"/>
        <n v="8.0"/>
      </sharedItems>
    </cacheField>
    <cacheField name="QUANT. EFETIVA DE BOLSAS" numFmtId="0">
      <sharedItems containsSemiMixedTypes="0" containsString="0" containsNumber="1" containsInteger="1">
        <n v="30.0"/>
        <n v="22.0"/>
        <n v="1.0"/>
        <n v="100.0"/>
        <n v="5.0"/>
        <n v="225.0"/>
        <n v="2.0"/>
        <n v="65.0"/>
        <n v="20.0"/>
        <n v="6.0"/>
        <n v="3.0"/>
        <n v="8.0"/>
      </sharedItems>
    </cacheField>
    <cacheField name="VALOR UNITÁRIO" numFmtId="4">
      <sharedItems containsSemiMixedTypes="0" containsString="0" containsNumber="1" containsInteger="1">
        <n v="525.0"/>
        <n v="420.0"/>
        <n v="7500.0"/>
        <n v="30000.0"/>
        <n v="700.0"/>
        <n v="300.0"/>
        <n v="622.0"/>
        <n v="3000.0"/>
      </sharedItems>
    </cacheField>
    <cacheField name="VALOR MENSAL" numFmtId="4">
      <sharedItems containsSemiMixedTypes="0" containsString="0" containsNumber="1" containsInteger="1">
        <n v="15750.0"/>
        <n v="9240.0"/>
        <n v="7500.0"/>
        <n v="30000.0"/>
        <n v="70000.0"/>
        <n v="3500.0"/>
        <n v="94500.0"/>
        <n v="1400.0"/>
        <n v="45500.0"/>
        <n v="6000.0"/>
        <n v="14000.0"/>
        <n v="3732.0"/>
        <n v="2100.0"/>
        <n v="3000.0"/>
        <n v="5600.0"/>
      </sharedItems>
    </cacheField>
    <cacheField name="VALOR ANUAL" numFmtId="4">
      <sharedItems containsSemiMixedTypes="0" containsString="0" containsNumber="1" containsInteger="1">
        <n v="189000.0"/>
        <n v="110880.0"/>
        <n v="90000.0"/>
        <n v="360000.0"/>
        <n v="70000.0"/>
        <n v="17500.0"/>
        <n v="1134000.0"/>
        <n v="16800.0"/>
        <n v="546000.0"/>
        <n v="72000.0"/>
        <n v="154000.0"/>
        <n v="44784.0"/>
        <n v="700000.0"/>
        <n v="35000.0"/>
        <n v="21000.0"/>
        <n v="33000.0"/>
        <n v="56000.0"/>
      </sharedItems>
    </cacheField>
    <cacheField name="VALOR EMPENHADO (TG)">
      <sharedItems containsMixedTypes="1" containsNumber="1" containsInteger="1">
        <n v="75075.0"/>
        <n v="62160.0"/>
        <n v="58250.0"/>
        <n v="217000.0"/>
        <n v="70000.0"/>
        <s v=""/>
        <n v="625065.0"/>
        <n v="9800.0"/>
        <n v="318500.0"/>
        <n v="41700.0"/>
        <n v="77700.0"/>
        <n v="18660.0"/>
        <n v="420000.0"/>
        <n v="17500.0"/>
        <n v="11200.0"/>
        <n v="18000.0"/>
        <n v="16100.0"/>
      </sharedItems>
    </cacheField>
    <cacheField name="SALDO NO EMPENHO (TG)">
      <sharedItems containsMixedTypes="1" containsNumber="1">
        <n v="14550.0"/>
        <n v="0.0"/>
        <n v="7246.48"/>
        <n v="86723.0"/>
        <s v=""/>
        <n v="13440.0"/>
        <n v="16800.0"/>
        <n v="700.0"/>
        <n v="1400.0"/>
      </sharedItems>
    </cacheField>
    <cacheField name="ANULAR (R$)" numFmtId="0">
      <sharedItems containsString="0" containsBlank="1">
        <m/>
      </sharedItems>
    </cacheField>
    <cacheField name="MESES A EMPENHAR" numFmtId="4">
      <sharedItems containsString="0" containsBlank="1" containsNumber="1" containsInteger="1">
        <n v="0.0"/>
        <m/>
        <n v="1.0"/>
      </sharedItems>
    </cacheField>
    <cacheField name="EMPENHAR (R$)" numFmtId="0">
      <sharedItems containsString="0" containsBlank="1" containsNumber="1" containsInteger="1">
        <m/>
        <n v="0.0"/>
        <n v="3732.0"/>
        <n v="35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rowGrandTotals="0" compact="0" compactData="0">
  <location ref="A1:E10" firstHeaderRow="0" firstDataRow="9" firstDataCol="0"/>
  <pivotFields>
    <pivotField name="PROCESSO" axis="axisRow" compact="0" outline="0" multipleItemSelectionAllowed="1" showAll="0" sortType="ascending" defaultSubtotal="0">
      <items>
        <item h="1" x="1"/>
        <item x="0"/>
        <item h="1" x="2"/>
        <item h="1" x="3"/>
      </items>
    </pivotField>
    <pivotField name="ITEM DE DESPESA" axis="axisRow" compact="0" outline="0" multipleItemSelectionAllowed="1" showAll="0" sortType="ascending" defaultSubtotal="0">
      <items>
        <item x="3"/>
        <item x="17"/>
        <item x="2"/>
        <item x="16"/>
        <item x="0"/>
        <item x="15"/>
        <item x="5"/>
        <item x="9"/>
        <item x="10"/>
        <item x="6"/>
        <item x="12"/>
        <item x="4"/>
        <item x="13"/>
        <item x="11"/>
        <item x="8"/>
        <item x="7"/>
        <item x="1"/>
        <item x="14"/>
      </items>
    </pivotField>
    <pivotField name="UNIDADE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ÇÃO" axis="axisRow" compact="0" outline="0" multipleItemSelectionAllowed="1" showAll="0" sortType="ascending" defaultSubtotal="0">
      <items>
        <item x="1"/>
        <item x="0"/>
        <item x="2"/>
      </items>
    </pivotField>
    <pivotField name="PTRES" axis="axisRow" compact="0" outline="0" multipleItemSelectionAllowed="1" showAll="0" sortType="ascending" defaultSubtotal="0">
      <items>
        <item x="0"/>
        <item x="2"/>
        <item x="1"/>
        <item x="4"/>
        <item x="3"/>
        <item x="5"/>
      </items>
    </pivotField>
    <pivotField name="FONTE" axis="axisRow" compact="0" numFmtId="164" outline="0" multipleItemSelectionAllowed="1" showAll="0" sortType="ascending" defaultSubtotal="0">
      <items>
        <item x="0"/>
      </items>
    </pivotField>
    <pivotField name="ND" axis="axisRow" compact="0" outline="0" multipleItemSelectionAllowed="1" showAll="0" sortType="ascending" defaultSubtotal="0">
      <items>
        <item x="0"/>
        <item x="1"/>
      </items>
    </pivotField>
    <pivotField name="UGR" axis="axisRow" compact="0" outline="0" multipleItemSelectionAllowed="1" showAll="0" sortType="ascending" defaultSubtotal="0">
      <items>
        <item x="0"/>
        <item x="4"/>
        <item x="6"/>
        <item x="1"/>
        <item x="2"/>
        <item x="5"/>
        <item x="3"/>
      </items>
    </pivotField>
    <pivotField name="PI" axis="axisRow" compact="0" outline="0" multipleItemSelectionAllowed="1" showAll="0" sortType="ascending" defaultSubtotal="0">
      <items>
        <item x="2"/>
        <item x="5"/>
        <item x="4"/>
        <item x="3"/>
        <item x="6"/>
        <item x="0"/>
        <item x="8"/>
        <item x="7"/>
        <item x="1"/>
      </items>
    </pivotField>
    <pivotField name="EMPENH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/N" compact="0" numFmtId="1" outline="0" multipleItemSelectionAllowed="1" showAll="0">
      <items>
        <item x="0"/>
        <item x="1"/>
        <item x="2"/>
        <item t="default"/>
      </items>
    </pivotField>
    <pivotField name="MESES DE SALD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SES EMPENHADO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ESES LIQUIDADO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ESES NO A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. IN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NT. EFETIVA DE BOLS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LOR UNITÁRI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OR MENS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ALOR ANU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LOR EMPENHADO (T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DO NO EMPENHO (T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NULAR (R$)" compact="0" outline="0" multipleItemSelectionAllowed="1" showAll="0">
      <items>
        <item x="0"/>
        <item t="default"/>
      </items>
    </pivotField>
    <pivotField name="MESES A EMPENHAR" compact="0" numFmtId="4" outline="0" multipleItemSelectionAllowed="1" showAll="0">
      <items>
        <item x="0"/>
        <item x="1"/>
        <item x="2"/>
        <item t="default"/>
      </items>
    </pivotField>
    <pivotField name="EMPENHAR (R$)" axis="axisRow" compact="0" outline="0" multipleItemSelectionAllowed="1" showAll="0" sortType="ascending">
      <items>
        <item h="1" x="0"/>
        <item h="1" x="1"/>
        <item h="1" x="3"/>
        <item h="1" x="2"/>
        <item t="default"/>
      </items>
    </pivotField>
  </pivotFields>
  <rowFields>
    <field x="0"/>
    <field x="1"/>
    <field x="3"/>
    <field x="4"/>
    <field x="5"/>
    <field x="6"/>
    <field x="8"/>
    <field x="7"/>
    <field x="24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sheetData>
    <row r="3">
      <c r="B3" s="1" t="s">
        <v>0</v>
      </c>
      <c r="C3" s="2" t="s">
        <v>1</v>
      </c>
      <c r="D3" s="3" t="s">
        <v>2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11</v>
      </c>
      <c r="L3" s="5" t="s">
        <v>12</v>
      </c>
      <c r="M3" s="5" t="s">
        <v>13</v>
      </c>
      <c r="N3" s="11"/>
    </row>
    <row r="4">
      <c r="B4" s="1" t="s">
        <v>14</v>
      </c>
      <c r="C4" s="2" t="s">
        <v>15</v>
      </c>
      <c r="D4" s="13" t="s">
        <v>15</v>
      </c>
      <c r="E4" s="14" t="s">
        <v>15</v>
      </c>
      <c r="F4" s="14" t="s">
        <v>15</v>
      </c>
      <c r="G4" s="14" t="s">
        <v>15</v>
      </c>
      <c r="H4" s="14" t="s">
        <v>15</v>
      </c>
      <c r="I4" s="14" t="s">
        <v>15</v>
      </c>
      <c r="J4" s="14" t="s">
        <v>15</v>
      </c>
      <c r="K4" s="14" t="s">
        <v>15</v>
      </c>
      <c r="L4" s="14" t="s">
        <v>15</v>
      </c>
      <c r="M4" s="14" t="s">
        <v>15</v>
      </c>
      <c r="N4" s="15" t="s">
        <v>22</v>
      </c>
    </row>
    <row r="5">
      <c r="B5" s="1" t="s">
        <v>24</v>
      </c>
      <c r="C5" s="2">
        <v>622.0</v>
      </c>
      <c r="D5" s="13" t="s">
        <v>27</v>
      </c>
      <c r="E5" s="14" t="s">
        <v>27</v>
      </c>
      <c r="F5" s="14" t="s">
        <v>27</v>
      </c>
      <c r="G5" s="14" t="s">
        <v>27</v>
      </c>
      <c r="H5" s="14" t="s">
        <v>27</v>
      </c>
      <c r="I5" s="14" t="s">
        <v>27</v>
      </c>
      <c r="J5" s="14" t="s">
        <v>27</v>
      </c>
      <c r="K5" s="14" t="s">
        <v>27</v>
      </c>
      <c r="L5" s="14" t="s">
        <v>27</v>
      </c>
      <c r="M5" s="14" t="s">
        <v>27</v>
      </c>
      <c r="N5" s="15" t="s">
        <v>31</v>
      </c>
    </row>
    <row r="6">
      <c r="B6" s="1"/>
      <c r="C6" s="1"/>
      <c r="D6" s="18" t="s">
        <v>34</v>
      </c>
      <c r="E6" s="19" t="s">
        <v>34</v>
      </c>
      <c r="F6" s="19" t="s">
        <v>34</v>
      </c>
      <c r="G6" s="19" t="s">
        <v>34</v>
      </c>
      <c r="H6" s="19" t="s">
        <v>34</v>
      </c>
      <c r="I6" s="19" t="s">
        <v>34</v>
      </c>
      <c r="J6" s="19" t="s">
        <v>34</v>
      </c>
      <c r="K6" s="19" t="s">
        <v>34</v>
      </c>
      <c r="L6" s="19" t="s">
        <v>34</v>
      </c>
      <c r="M6" s="19" t="s">
        <v>34</v>
      </c>
      <c r="N6" s="22" t="s">
        <v>1</v>
      </c>
    </row>
    <row r="7">
      <c r="B7" s="1"/>
      <c r="C7" s="1"/>
      <c r="D7" s="14">
        <v>622.0</v>
      </c>
      <c r="E7" s="14">
        <v>622.0</v>
      </c>
      <c r="F7" s="14">
        <v>622.0</v>
      </c>
      <c r="G7" s="14">
        <v>622.0</v>
      </c>
      <c r="H7" s="14">
        <v>622.0</v>
      </c>
      <c r="I7" s="14">
        <v>622.0</v>
      </c>
      <c r="J7" s="14">
        <v>622.0</v>
      </c>
      <c r="K7" s="14">
        <v>622.0</v>
      </c>
      <c r="L7" s="14">
        <v>622.0</v>
      </c>
      <c r="M7" s="14">
        <v>622.0</v>
      </c>
      <c r="N7" s="14"/>
    </row>
    <row r="8">
      <c r="B8" s="1"/>
      <c r="C8" s="1"/>
      <c r="D8" s="23">
        <v>6.0</v>
      </c>
      <c r="E8" s="14">
        <v>6.0</v>
      </c>
      <c r="F8" s="14">
        <v>6.0</v>
      </c>
      <c r="G8" s="14">
        <v>6.0</v>
      </c>
      <c r="H8" s="14">
        <v>6.0</v>
      </c>
      <c r="I8" s="14">
        <v>6.0</v>
      </c>
      <c r="J8" s="14">
        <v>6.0</v>
      </c>
      <c r="K8" s="14">
        <v>6.0</v>
      </c>
      <c r="L8" s="14">
        <v>6.0</v>
      </c>
      <c r="M8" s="14">
        <v>6.0</v>
      </c>
      <c r="N8" s="14"/>
    </row>
    <row r="9">
      <c r="B9" s="1"/>
      <c r="C9" s="1"/>
      <c r="D9" s="28">
        <f t="shared" ref="D9:M9" si="1">D8*D7</f>
        <v>3732</v>
      </c>
      <c r="E9" s="28">
        <f t="shared" si="1"/>
        <v>3732</v>
      </c>
      <c r="F9" s="28">
        <f t="shared" si="1"/>
        <v>3732</v>
      </c>
      <c r="G9" s="28">
        <f t="shared" si="1"/>
        <v>3732</v>
      </c>
      <c r="H9" s="28">
        <f t="shared" si="1"/>
        <v>3732</v>
      </c>
      <c r="I9" s="28">
        <f t="shared" si="1"/>
        <v>3732</v>
      </c>
      <c r="J9" s="28">
        <f t="shared" si="1"/>
        <v>3732</v>
      </c>
      <c r="K9" s="28">
        <f t="shared" si="1"/>
        <v>3732</v>
      </c>
      <c r="L9" s="28">
        <f t="shared" si="1"/>
        <v>3732</v>
      </c>
      <c r="M9" s="28">
        <f t="shared" si="1"/>
        <v>3732</v>
      </c>
      <c r="N9" s="41" t="s">
        <v>92</v>
      </c>
    </row>
    <row r="10">
      <c r="B10" s="1"/>
      <c r="C10" s="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42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69.86"/>
    <col customWidth="1" min="7" max="8" width="17.43"/>
  </cols>
  <sheetData>
    <row r="1"/>
    <row r="2"/>
    <row r="3"/>
    <row r="4"/>
    <row r="5"/>
    <row r="6"/>
    <row r="7"/>
    <row r="8"/>
    <row r="9"/>
    <row r="10"/>
    <row r="11">
      <c r="A11" s="33"/>
      <c r="B11" s="34"/>
      <c r="C11" s="33"/>
      <c r="D11" s="33"/>
      <c r="E11" s="33"/>
      <c r="F11" s="33"/>
      <c r="G11" s="33"/>
      <c r="H11" s="33"/>
      <c r="I11" s="33"/>
    </row>
    <row r="12">
      <c r="B12" s="38"/>
    </row>
    <row r="13">
      <c r="B13" s="38"/>
    </row>
    <row r="14">
      <c r="B14" s="38"/>
    </row>
    <row r="15">
      <c r="B15" s="38"/>
    </row>
    <row r="16">
      <c r="B16" s="38"/>
    </row>
    <row r="17">
      <c r="B17" s="38"/>
    </row>
    <row r="18">
      <c r="B18" s="38"/>
    </row>
    <row r="19">
      <c r="B19" s="38"/>
    </row>
    <row r="20">
      <c r="B20" s="38"/>
    </row>
    <row r="21">
      <c r="B21" s="38"/>
    </row>
    <row r="22">
      <c r="B22" s="38"/>
    </row>
    <row r="23">
      <c r="B23" s="38"/>
    </row>
    <row r="24">
      <c r="B24" s="38"/>
    </row>
    <row r="25">
      <c r="B25" s="38"/>
    </row>
    <row r="26">
      <c r="B26" s="38"/>
    </row>
    <row r="27">
      <c r="B27" s="38"/>
    </row>
    <row r="28">
      <c r="B28" s="38"/>
    </row>
    <row r="29">
      <c r="B29" s="38"/>
    </row>
    <row r="30">
      <c r="B30" s="38"/>
    </row>
    <row r="31">
      <c r="B31" s="38"/>
    </row>
    <row r="32">
      <c r="B32" s="38"/>
    </row>
    <row r="33">
      <c r="B33" s="38"/>
    </row>
    <row r="34">
      <c r="B34" s="38"/>
    </row>
    <row r="35">
      <c r="B35" s="38"/>
    </row>
    <row r="36">
      <c r="B36" s="38"/>
    </row>
    <row r="37">
      <c r="B37" s="38"/>
    </row>
    <row r="38">
      <c r="B38" s="38"/>
    </row>
    <row r="39">
      <c r="B39" s="38"/>
    </row>
    <row r="40">
      <c r="B40" s="38"/>
    </row>
    <row r="41">
      <c r="B41" s="38"/>
    </row>
    <row r="42">
      <c r="B42" s="38"/>
    </row>
    <row r="43">
      <c r="B43" s="38"/>
    </row>
    <row r="44">
      <c r="B44" s="38"/>
    </row>
    <row r="45">
      <c r="B45" s="38"/>
    </row>
    <row r="46">
      <c r="B46" s="38"/>
    </row>
    <row r="47">
      <c r="B47" s="38"/>
    </row>
    <row r="48">
      <c r="B48" s="38"/>
    </row>
    <row r="49">
      <c r="B49" s="38"/>
    </row>
    <row r="50">
      <c r="B50" s="38"/>
    </row>
    <row r="51">
      <c r="B51" s="38"/>
    </row>
    <row r="52">
      <c r="B52" s="38"/>
    </row>
    <row r="53">
      <c r="B53" s="38"/>
    </row>
    <row r="54">
      <c r="B54" s="38"/>
    </row>
    <row r="55">
      <c r="B55" s="38"/>
    </row>
    <row r="56">
      <c r="B56" s="38"/>
    </row>
    <row r="57">
      <c r="B57" s="38"/>
    </row>
    <row r="58">
      <c r="B58" s="38"/>
    </row>
    <row r="59">
      <c r="B59" s="38"/>
    </row>
    <row r="60">
      <c r="B60" s="38"/>
    </row>
    <row r="61">
      <c r="B61" s="38"/>
    </row>
    <row r="62">
      <c r="B62" s="38"/>
    </row>
    <row r="63">
      <c r="B63" s="38"/>
    </row>
    <row r="64">
      <c r="B64" s="38"/>
    </row>
    <row r="65">
      <c r="B65" s="38"/>
    </row>
    <row r="66">
      <c r="B66" s="38"/>
    </row>
    <row r="67">
      <c r="B67" s="38"/>
    </row>
    <row r="68">
      <c r="B68" s="38"/>
    </row>
    <row r="69">
      <c r="B69" s="38"/>
    </row>
    <row r="70">
      <c r="B70" s="38"/>
    </row>
    <row r="71">
      <c r="B71" s="38"/>
    </row>
    <row r="72">
      <c r="B72" s="38"/>
    </row>
    <row r="73">
      <c r="B73" s="38"/>
    </row>
    <row r="74">
      <c r="B74" s="38"/>
    </row>
    <row r="75">
      <c r="B75" s="38"/>
    </row>
    <row r="76">
      <c r="B76" s="38"/>
    </row>
    <row r="77">
      <c r="B77" s="38"/>
    </row>
    <row r="78">
      <c r="B78" s="38"/>
    </row>
    <row r="79">
      <c r="B79" s="38"/>
    </row>
    <row r="80">
      <c r="B80" s="38"/>
    </row>
    <row r="81">
      <c r="B81" s="38"/>
    </row>
    <row r="82">
      <c r="B82" s="38"/>
    </row>
    <row r="83">
      <c r="B83" s="38"/>
    </row>
    <row r="84">
      <c r="B84" s="38"/>
    </row>
    <row r="85">
      <c r="B85" s="38"/>
    </row>
    <row r="86">
      <c r="B86" s="38"/>
    </row>
    <row r="87">
      <c r="B87" s="38"/>
    </row>
    <row r="88">
      <c r="B88" s="38"/>
    </row>
    <row r="89">
      <c r="B89" s="38"/>
    </row>
    <row r="90">
      <c r="B90" s="38"/>
    </row>
    <row r="91">
      <c r="B91" s="38"/>
    </row>
    <row r="92">
      <c r="B92" s="38"/>
    </row>
    <row r="93">
      <c r="B93" s="38"/>
    </row>
    <row r="94">
      <c r="B94" s="38"/>
    </row>
    <row r="95">
      <c r="B95" s="38"/>
    </row>
    <row r="96">
      <c r="B96" s="38"/>
    </row>
    <row r="97">
      <c r="B97" s="38"/>
    </row>
    <row r="98">
      <c r="B98" s="38"/>
    </row>
    <row r="99">
      <c r="B99" s="38"/>
    </row>
    <row r="100">
      <c r="B100" s="38"/>
    </row>
    <row r="101">
      <c r="B101" s="38"/>
    </row>
    <row r="102">
      <c r="B102" s="38"/>
    </row>
    <row r="103">
      <c r="B103" s="38"/>
    </row>
    <row r="104">
      <c r="B104" s="38"/>
    </row>
    <row r="105">
      <c r="B105" s="38"/>
    </row>
    <row r="106">
      <c r="B106" s="38"/>
    </row>
    <row r="107">
      <c r="B107" s="38"/>
    </row>
    <row r="108">
      <c r="B108" s="38"/>
    </row>
    <row r="109">
      <c r="B109" s="38"/>
    </row>
    <row r="110">
      <c r="B110" s="38"/>
    </row>
    <row r="111">
      <c r="B111" s="38"/>
    </row>
    <row r="112">
      <c r="B112" s="38"/>
    </row>
    <row r="113">
      <c r="B113" s="38"/>
    </row>
    <row r="114">
      <c r="B114" s="38"/>
    </row>
    <row r="115">
      <c r="B115" s="38"/>
    </row>
    <row r="116">
      <c r="B116" s="38"/>
    </row>
    <row r="117">
      <c r="B117" s="38"/>
    </row>
    <row r="118">
      <c r="B118" s="38"/>
    </row>
    <row r="119">
      <c r="B119" s="38"/>
    </row>
    <row r="120">
      <c r="B120" s="38"/>
    </row>
    <row r="121">
      <c r="B121" s="38"/>
    </row>
    <row r="122">
      <c r="B122" s="38"/>
    </row>
    <row r="123">
      <c r="B123" s="38"/>
    </row>
    <row r="124">
      <c r="B124" s="38"/>
    </row>
    <row r="125">
      <c r="B125" s="38"/>
    </row>
    <row r="126">
      <c r="B126" s="38"/>
    </row>
    <row r="127">
      <c r="B127" s="38"/>
    </row>
    <row r="128">
      <c r="B128" s="38"/>
    </row>
    <row r="129">
      <c r="B129" s="38"/>
    </row>
    <row r="130">
      <c r="B130" s="38"/>
    </row>
    <row r="131">
      <c r="B131" s="38"/>
    </row>
    <row r="132">
      <c r="B132" s="38"/>
    </row>
    <row r="133">
      <c r="B133" s="38"/>
    </row>
    <row r="134">
      <c r="B134" s="38"/>
    </row>
    <row r="135">
      <c r="B135" s="38"/>
    </row>
    <row r="136">
      <c r="B136" s="38"/>
    </row>
    <row r="137">
      <c r="B137" s="38"/>
    </row>
    <row r="138">
      <c r="B138" s="38"/>
    </row>
    <row r="139">
      <c r="B139" s="38"/>
    </row>
    <row r="140">
      <c r="B140" s="38"/>
    </row>
    <row r="141">
      <c r="B141" s="38"/>
    </row>
    <row r="142">
      <c r="B142" s="38"/>
    </row>
    <row r="143">
      <c r="B143" s="38"/>
    </row>
    <row r="144">
      <c r="B144" s="38"/>
    </row>
    <row r="145">
      <c r="B145" s="38"/>
    </row>
    <row r="146">
      <c r="B146" s="38"/>
    </row>
    <row r="147">
      <c r="B147" s="38"/>
    </row>
    <row r="148">
      <c r="B148" s="38"/>
    </row>
    <row r="149">
      <c r="B149" s="38"/>
    </row>
    <row r="150">
      <c r="B150" s="38"/>
    </row>
    <row r="151">
      <c r="B151" s="38"/>
    </row>
    <row r="152">
      <c r="B152" s="38"/>
    </row>
    <row r="153">
      <c r="B153" s="38"/>
    </row>
    <row r="154">
      <c r="B154" s="38"/>
    </row>
    <row r="155">
      <c r="B155" s="38"/>
    </row>
    <row r="156">
      <c r="B156" s="38"/>
    </row>
    <row r="157">
      <c r="B157" s="38"/>
    </row>
    <row r="158">
      <c r="B158" s="38"/>
    </row>
    <row r="159">
      <c r="B159" s="38"/>
    </row>
    <row r="160">
      <c r="B160" s="38"/>
    </row>
    <row r="161">
      <c r="B161" s="38"/>
    </row>
    <row r="162">
      <c r="B162" s="38"/>
    </row>
    <row r="163">
      <c r="B163" s="38"/>
    </row>
    <row r="164">
      <c r="B164" s="38"/>
    </row>
    <row r="165">
      <c r="B165" s="38"/>
    </row>
    <row r="166">
      <c r="B166" s="38"/>
    </row>
    <row r="167">
      <c r="B167" s="38"/>
    </row>
    <row r="168">
      <c r="B168" s="38"/>
    </row>
    <row r="169">
      <c r="B169" s="38"/>
    </row>
    <row r="170">
      <c r="B170" s="38"/>
    </row>
    <row r="171">
      <c r="B171" s="38"/>
    </row>
    <row r="172">
      <c r="B172" s="38"/>
    </row>
    <row r="173">
      <c r="B173" s="38"/>
    </row>
    <row r="174">
      <c r="B174" s="38"/>
    </row>
    <row r="175">
      <c r="B175" s="38"/>
    </row>
    <row r="176">
      <c r="B176" s="38"/>
    </row>
    <row r="177">
      <c r="B177" s="38"/>
    </row>
    <row r="178">
      <c r="B178" s="38"/>
    </row>
    <row r="179">
      <c r="B179" s="38"/>
    </row>
    <row r="180">
      <c r="B180" s="38"/>
    </row>
    <row r="181">
      <c r="B181" s="38"/>
    </row>
    <row r="182">
      <c r="B182" s="38"/>
    </row>
    <row r="183">
      <c r="B183" s="38"/>
    </row>
    <row r="184">
      <c r="B184" s="38"/>
    </row>
    <row r="185">
      <c r="B185" s="38"/>
    </row>
    <row r="186">
      <c r="B186" s="38"/>
    </row>
    <row r="187">
      <c r="B187" s="38"/>
    </row>
    <row r="188">
      <c r="B188" s="38"/>
    </row>
    <row r="189">
      <c r="B189" s="38"/>
    </row>
    <row r="190">
      <c r="B190" s="38"/>
    </row>
    <row r="191">
      <c r="B191" s="38"/>
    </row>
    <row r="192">
      <c r="B192" s="38"/>
    </row>
    <row r="193">
      <c r="B193" s="38"/>
    </row>
    <row r="194">
      <c r="B194" s="38"/>
    </row>
    <row r="195">
      <c r="B195" s="38"/>
    </row>
    <row r="196">
      <c r="B196" s="38"/>
    </row>
    <row r="197">
      <c r="B197" s="38"/>
    </row>
    <row r="198">
      <c r="B198" s="38"/>
    </row>
    <row r="199">
      <c r="B199" s="38"/>
    </row>
    <row r="200">
      <c r="B200" s="38"/>
    </row>
    <row r="201">
      <c r="B201" s="38"/>
    </row>
    <row r="202">
      <c r="B202" s="38"/>
    </row>
    <row r="203">
      <c r="B203" s="38"/>
    </row>
    <row r="204">
      <c r="B204" s="38"/>
    </row>
    <row r="205">
      <c r="B205" s="38"/>
    </row>
    <row r="206">
      <c r="B206" s="38"/>
    </row>
    <row r="207">
      <c r="B207" s="38"/>
    </row>
    <row r="208">
      <c r="B208" s="38"/>
    </row>
    <row r="209">
      <c r="B209" s="38"/>
    </row>
    <row r="210">
      <c r="B210" s="38"/>
    </row>
    <row r="211">
      <c r="B211" s="38"/>
    </row>
    <row r="212">
      <c r="B212" s="38"/>
    </row>
    <row r="213">
      <c r="B213" s="38"/>
    </row>
    <row r="214">
      <c r="B214" s="38"/>
    </row>
    <row r="215">
      <c r="B215" s="38"/>
    </row>
    <row r="216">
      <c r="B216" s="38"/>
    </row>
    <row r="217">
      <c r="B217" s="38"/>
    </row>
    <row r="218">
      <c r="B218" s="38"/>
    </row>
    <row r="219">
      <c r="B219" s="38"/>
    </row>
    <row r="220">
      <c r="B220" s="38"/>
    </row>
    <row r="221">
      <c r="B221" s="38"/>
    </row>
    <row r="222">
      <c r="B222" s="38"/>
    </row>
    <row r="223">
      <c r="B223" s="38"/>
    </row>
    <row r="224">
      <c r="B224" s="38"/>
    </row>
    <row r="225">
      <c r="B225" s="38"/>
    </row>
    <row r="226">
      <c r="B226" s="38"/>
    </row>
    <row r="227">
      <c r="B227" s="38"/>
    </row>
    <row r="228">
      <c r="B228" s="38"/>
    </row>
    <row r="229">
      <c r="B229" s="38"/>
    </row>
    <row r="230">
      <c r="B230" s="38"/>
    </row>
    <row r="231">
      <c r="B231" s="38"/>
    </row>
    <row r="232">
      <c r="B232" s="38"/>
    </row>
    <row r="233">
      <c r="B233" s="38"/>
    </row>
    <row r="234">
      <c r="B234" s="38"/>
    </row>
    <row r="235">
      <c r="B235" s="38"/>
    </row>
    <row r="236">
      <c r="B236" s="38"/>
    </row>
    <row r="237">
      <c r="B237" s="38"/>
    </row>
    <row r="238">
      <c r="B238" s="38"/>
    </row>
    <row r="239">
      <c r="B239" s="38"/>
    </row>
    <row r="240">
      <c r="B240" s="38"/>
    </row>
    <row r="241">
      <c r="B241" s="38"/>
    </row>
    <row r="242">
      <c r="B242" s="38"/>
    </row>
    <row r="243">
      <c r="B243" s="38"/>
    </row>
    <row r="244">
      <c r="B244" s="38"/>
    </row>
    <row r="245">
      <c r="B245" s="38"/>
    </row>
    <row r="246">
      <c r="B246" s="38"/>
    </row>
    <row r="247">
      <c r="B247" s="38"/>
    </row>
    <row r="248">
      <c r="B248" s="38"/>
    </row>
    <row r="249">
      <c r="B249" s="38"/>
    </row>
    <row r="250">
      <c r="B250" s="38"/>
    </row>
    <row r="251">
      <c r="B251" s="38"/>
    </row>
    <row r="252">
      <c r="B252" s="38"/>
    </row>
    <row r="253">
      <c r="B253" s="38"/>
    </row>
    <row r="254">
      <c r="B254" s="38"/>
    </row>
    <row r="255">
      <c r="B255" s="38"/>
    </row>
    <row r="256">
      <c r="B256" s="38"/>
    </row>
    <row r="257">
      <c r="B257" s="38"/>
    </row>
    <row r="258">
      <c r="B258" s="38"/>
    </row>
    <row r="259">
      <c r="B259" s="38"/>
    </row>
    <row r="260">
      <c r="B260" s="38"/>
    </row>
    <row r="261">
      <c r="B261" s="38"/>
    </row>
    <row r="262">
      <c r="B262" s="38"/>
    </row>
    <row r="263">
      <c r="B263" s="38"/>
    </row>
    <row r="264">
      <c r="B264" s="38"/>
    </row>
    <row r="265">
      <c r="B265" s="38"/>
    </row>
    <row r="266">
      <c r="B266" s="38"/>
    </row>
    <row r="267">
      <c r="B267" s="38"/>
    </row>
    <row r="268">
      <c r="B268" s="38"/>
    </row>
    <row r="269">
      <c r="B269" s="38"/>
    </row>
    <row r="270">
      <c r="B270" s="38"/>
    </row>
    <row r="271">
      <c r="B271" s="38"/>
    </row>
    <row r="272">
      <c r="B272" s="38"/>
    </row>
    <row r="273">
      <c r="B273" s="38"/>
    </row>
    <row r="274">
      <c r="B274" s="38"/>
    </row>
    <row r="275">
      <c r="B275" s="38"/>
    </row>
    <row r="276">
      <c r="B276" s="38"/>
    </row>
    <row r="277">
      <c r="B277" s="38"/>
    </row>
    <row r="278">
      <c r="B278" s="38"/>
    </row>
    <row r="279">
      <c r="B279" s="38"/>
    </row>
    <row r="280">
      <c r="B280" s="38"/>
    </row>
    <row r="281">
      <c r="B281" s="38"/>
    </row>
    <row r="282">
      <c r="B282" s="38"/>
    </row>
    <row r="283">
      <c r="B283" s="38"/>
    </row>
    <row r="284">
      <c r="B284" s="38"/>
    </row>
    <row r="285">
      <c r="B285" s="38"/>
    </row>
    <row r="286">
      <c r="B286" s="38"/>
    </row>
    <row r="287">
      <c r="B287" s="38"/>
    </row>
    <row r="288">
      <c r="B288" s="38"/>
    </row>
    <row r="289">
      <c r="B289" s="38"/>
    </row>
    <row r="290">
      <c r="B290" s="38"/>
    </row>
    <row r="291">
      <c r="B291" s="38"/>
    </row>
    <row r="292">
      <c r="B292" s="38"/>
    </row>
    <row r="293">
      <c r="B293" s="38"/>
    </row>
    <row r="294">
      <c r="B294" s="38"/>
    </row>
    <row r="295">
      <c r="B295" s="38"/>
    </row>
    <row r="296">
      <c r="B296" s="38"/>
    </row>
    <row r="297">
      <c r="B297" s="38"/>
    </row>
    <row r="298">
      <c r="B298" s="38"/>
    </row>
    <row r="299">
      <c r="B299" s="38"/>
    </row>
    <row r="300">
      <c r="B300" s="38"/>
    </row>
    <row r="301">
      <c r="B301" s="38"/>
    </row>
    <row r="302">
      <c r="B302" s="38"/>
    </row>
    <row r="303">
      <c r="B303" s="38"/>
    </row>
    <row r="304">
      <c r="B304" s="38"/>
    </row>
    <row r="305">
      <c r="B305" s="38"/>
    </row>
    <row r="306">
      <c r="B306" s="38"/>
    </row>
    <row r="307">
      <c r="B307" s="38"/>
    </row>
    <row r="308">
      <c r="B308" s="38"/>
    </row>
    <row r="309">
      <c r="B309" s="38"/>
    </row>
    <row r="310">
      <c r="B310" s="38"/>
    </row>
    <row r="311">
      <c r="B311" s="38"/>
    </row>
    <row r="312">
      <c r="B312" s="38"/>
    </row>
    <row r="313">
      <c r="B313" s="38"/>
    </row>
    <row r="314">
      <c r="B314" s="38"/>
    </row>
    <row r="315">
      <c r="B315" s="38"/>
    </row>
    <row r="316">
      <c r="B316" s="38"/>
    </row>
    <row r="317">
      <c r="B317" s="38"/>
    </row>
    <row r="318">
      <c r="B318" s="38"/>
    </row>
    <row r="319">
      <c r="B319" s="38"/>
    </row>
    <row r="320">
      <c r="B320" s="38"/>
    </row>
    <row r="321">
      <c r="B321" s="38"/>
    </row>
    <row r="322">
      <c r="B322" s="38"/>
    </row>
    <row r="323">
      <c r="B323" s="38"/>
    </row>
    <row r="324">
      <c r="B324" s="38"/>
    </row>
    <row r="325">
      <c r="B325" s="38"/>
    </row>
    <row r="326">
      <c r="B326" s="38"/>
    </row>
    <row r="327">
      <c r="B327" s="38"/>
    </row>
    <row r="328">
      <c r="B328" s="38"/>
    </row>
    <row r="329">
      <c r="B329" s="38"/>
    </row>
    <row r="330">
      <c r="B330" s="38"/>
    </row>
    <row r="331">
      <c r="B331" s="38"/>
    </row>
    <row r="332">
      <c r="B332" s="38"/>
    </row>
    <row r="333">
      <c r="B333" s="38"/>
    </row>
    <row r="334">
      <c r="B334" s="38"/>
    </row>
    <row r="335">
      <c r="B335" s="38"/>
    </row>
    <row r="336">
      <c r="B336" s="38"/>
    </row>
    <row r="337">
      <c r="B337" s="38"/>
    </row>
    <row r="338">
      <c r="B338" s="38"/>
    </row>
    <row r="339">
      <c r="B339" s="38"/>
    </row>
    <row r="340">
      <c r="B340" s="38"/>
    </row>
    <row r="341">
      <c r="B341" s="38"/>
    </row>
    <row r="342">
      <c r="B342" s="38"/>
    </row>
    <row r="343">
      <c r="B343" s="38"/>
    </row>
    <row r="344">
      <c r="B344" s="38"/>
    </row>
    <row r="345">
      <c r="B345" s="38"/>
    </row>
    <row r="346">
      <c r="B346" s="38"/>
    </row>
    <row r="347">
      <c r="B347" s="38"/>
    </row>
    <row r="348">
      <c r="B348" s="38"/>
    </row>
    <row r="349">
      <c r="B349" s="38"/>
    </row>
    <row r="350">
      <c r="B350" s="38"/>
    </row>
    <row r="351">
      <c r="B351" s="38"/>
    </row>
    <row r="352">
      <c r="B352" s="38"/>
    </row>
    <row r="353">
      <c r="B353" s="38"/>
    </row>
    <row r="354">
      <c r="B354" s="38"/>
    </row>
    <row r="355">
      <c r="B355" s="38"/>
    </row>
    <row r="356">
      <c r="B356" s="38"/>
    </row>
    <row r="357">
      <c r="B357" s="38"/>
    </row>
    <row r="358">
      <c r="B358" s="38"/>
    </row>
    <row r="359">
      <c r="B359" s="38"/>
    </row>
    <row r="360">
      <c r="B360" s="38"/>
    </row>
    <row r="361">
      <c r="B361" s="38"/>
    </row>
    <row r="362">
      <c r="B362" s="38"/>
    </row>
    <row r="363">
      <c r="B363" s="38"/>
    </row>
    <row r="364">
      <c r="B364" s="38"/>
    </row>
    <row r="365">
      <c r="B365" s="38"/>
    </row>
    <row r="366">
      <c r="B366" s="38"/>
    </row>
    <row r="367">
      <c r="B367" s="38"/>
    </row>
    <row r="368">
      <c r="B368" s="38"/>
    </row>
    <row r="369">
      <c r="B369" s="38"/>
    </row>
    <row r="370">
      <c r="B370" s="38"/>
    </row>
    <row r="371">
      <c r="B371" s="38"/>
    </row>
    <row r="372">
      <c r="B372" s="38"/>
    </row>
    <row r="373">
      <c r="B373" s="38"/>
    </row>
    <row r="374">
      <c r="B374" s="38"/>
    </row>
    <row r="375">
      <c r="B375" s="38"/>
    </row>
    <row r="376">
      <c r="B376" s="38"/>
    </row>
    <row r="377">
      <c r="B377" s="38"/>
    </row>
    <row r="378">
      <c r="B378" s="38"/>
    </row>
    <row r="379">
      <c r="B379" s="38"/>
    </row>
    <row r="380">
      <c r="B380" s="38"/>
    </row>
    <row r="381">
      <c r="B381" s="38"/>
    </row>
    <row r="382">
      <c r="B382" s="38"/>
    </row>
    <row r="383">
      <c r="B383" s="38"/>
    </row>
    <row r="384">
      <c r="B384" s="38"/>
    </row>
    <row r="385">
      <c r="B385" s="38"/>
    </row>
    <row r="386">
      <c r="B386" s="38"/>
    </row>
    <row r="387">
      <c r="B387" s="38"/>
    </row>
    <row r="388">
      <c r="B388" s="38"/>
    </row>
    <row r="389">
      <c r="B389" s="38"/>
    </row>
    <row r="390">
      <c r="B390" s="38"/>
    </row>
    <row r="391">
      <c r="B391" s="38"/>
    </row>
    <row r="392">
      <c r="B392" s="38"/>
    </row>
    <row r="393">
      <c r="B393" s="38"/>
    </row>
    <row r="394">
      <c r="B394" s="38"/>
    </row>
    <row r="395">
      <c r="B395" s="38"/>
    </row>
    <row r="396">
      <c r="B396" s="38"/>
    </row>
    <row r="397">
      <c r="B397" s="38"/>
    </row>
    <row r="398">
      <c r="B398" s="38"/>
    </row>
    <row r="399">
      <c r="B399" s="38"/>
    </row>
    <row r="400">
      <c r="B400" s="38"/>
    </row>
    <row r="401">
      <c r="B401" s="38"/>
    </row>
    <row r="402">
      <c r="B402" s="38"/>
    </row>
    <row r="403">
      <c r="B403" s="38"/>
    </row>
    <row r="404">
      <c r="B404" s="38"/>
    </row>
    <row r="405">
      <c r="B405" s="38"/>
    </row>
    <row r="406">
      <c r="B406" s="38"/>
    </row>
    <row r="407">
      <c r="B407" s="38"/>
    </row>
    <row r="408">
      <c r="B408" s="38"/>
    </row>
    <row r="409">
      <c r="B409" s="38"/>
    </row>
    <row r="410">
      <c r="B410" s="38"/>
    </row>
    <row r="411">
      <c r="B411" s="38"/>
    </row>
    <row r="412">
      <c r="B412" s="38"/>
    </row>
    <row r="413">
      <c r="B413" s="38"/>
    </row>
    <row r="414">
      <c r="B414" s="38"/>
    </row>
    <row r="415">
      <c r="B415" s="38"/>
    </row>
    <row r="416">
      <c r="B416" s="38"/>
    </row>
    <row r="417">
      <c r="B417" s="38"/>
    </row>
    <row r="418">
      <c r="B418" s="38"/>
    </row>
    <row r="419">
      <c r="B419" s="38"/>
    </row>
    <row r="420">
      <c r="B420" s="38"/>
    </row>
    <row r="421">
      <c r="B421" s="38"/>
    </row>
    <row r="422">
      <c r="B422" s="38"/>
    </row>
    <row r="423">
      <c r="B423" s="38"/>
    </row>
    <row r="424">
      <c r="B424" s="38"/>
    </row>
    <row r="425">
      <c r="B425" s="38"/>
    </row>
    <row r="426">
      <c r="B426" s="38"/>
    </row>
    <row r="427">
      <c r="B427" s="38"/>
    </row>
    <row r="428">
      <c r="B428" s="38"/>
    </row>
    <row r="429">
      <c r="B429" s="38"/>
    </row>
    <row r="430">
      <c r="B430" s="38"/>
    </row>
    <row r="431">
      <c r="B431" s="38"/>
    </row>
    <row r="432">
      <c r="B432" s="38"/>
    </row>
    <row r="433">
      <c r="B433" s="38"/>
    </row>
    <row r="434">
      <c r="B434" s="38"/>
    </row>
    <row r="435">
      <c r="B435" s="38"/>
    </row>
    <row r="436">
      <c r="B436" s="38"/>
    </row>
    <row r="437">
      <c r="B437" s="38"/>
    </row>
    <row r="438">
      <c r="B438" s="38"/>
    </row>
    <row r="439">
      <c r="B439" s="38"/>
    </row>
    <row r="440">
      <c r="B440" s="38"/>
    </row>
    <row r="441">
      <c r="B441" s="38"/>
    </row>
    <row r="442">
      <c r="B442" s="38"/>
    </row>
    <row r="443">
      <c r="B443" s="38"/>
    </row>
    <row r="444">
      <c r="B444" s="38"/>
    </row>
    <row r="445">
      <c r="B445" s="38"/>
    </row>
    <row r="446">
      <c r="B446" s="38"/>
    </row>
    <row r="447">
      <c r="B447" s="38"/>
    </row>
    <row r="448">
      <c r="B448" s="38"/>
    </row>
    <row r="449">
      <c r="B449" s="38"/>
    </row>
    <row r="450">
      <c r="B450" s="38"/>
    </row>
    <row r="451">
      <c r="B451" s="38"/>
    </row>
    <row r="452">
      <c r="B452" s="38"/>
    </row>
    <row r="453">
      <c r="B453" s="38"/>
    </row>
    <row r="454">
      <c r="B454" s="38"/>
    </row>
    <row r="455">
      <c r="B455" s="38"/>
    </row>
    <row r="456">
      <c r="B456" s="38"/>
    </row>
    <row r="457">
      <c r="B457" s="38"/>
    </row>
    <row r="458">
      <c r="B458" s="38"/>
    </row>
    <row r="459">
      <c r="B459" s="38"/>
    </row>
    <row r="460">
      <c r="B460" s="38"/>
    </row>
    <row r="461">
      <c r="B461" s="38"/>
    </row>
    <row r="462">
      <c r="B462" s="38"/>
    </row>
    <row r="463">
      <c r="B463" s="38"/>
    </row>
    <row r="464">
      <c r="B464" s="38"/>
    </row>
    <row r="465">
      <c r="B465" s="38"/>
    </row>
    <row r="466">
      <c r="B466" s="38"/>
    </row>
    <row r="467">
      <c r="B467" s="38"/>
    </row>
    <row r="468">
      <c r="B468" s="38"/>
    </row>
    <row r="469">
      <c r="B469" s="38"/>
    </row>
    <row r="470">
      <c r="B470" s="38"/>
    </row>
    <row r="471">
      <c r="B471" s="38"/>
    </row>
    <row r="472">
      <c r="B472" s="38"/>
    </row>
    <row r="473">
      <c r="B473" s="38"/>
    </row>
    <row r="474">
      <c r="B474" s="38"/>
    </row>
    <row r="475">
      <c r="B475" s="38"/>
    </row>
    <row r="476">
      <c r="B476" s="38"/>
    </row>
    <row r="477">
      <c r="B477" s="38"/>
    </row>
    <row r="478">
      <c r="B478" s="38"/>
    </row>
    <row r="479">
      <c r="B479" s="38"/>
    </row>
    <row r="480">
      <c r="B480" s="38"/>
    </row>
    <row r="481">
      <c r="B481" s="38"/>
    </row>
    <row r="482">
      <c r="B482" s="38"/>
    </row>
    <row r="483">
      <c r="B483" s="38"/>
    </row>
    <row r="484">
      <c r="B484" s="38"/>
    </row>
    <row r="485">
      <c r="B485" s="38"/>
    </row>
    <row r="486">
      <c r="B486" s="38"/>
    </row>
    <row r="487">
      <c r="B487" s="38"/>
    </row>
    <row r="488">
      <c r="B488" s="38"/>
    </row>
    <row r="489">
      <c r="B489" s="38"/>
    </row>
    <row r="490">
      <c r="B490" s="38"/>
    </row>
    <row r="491">
      <c r="B491" s="38"/>
    </row>
    <row r="492">
      <c r="B492" s="38"/>
    </row>
    <row r="493">
      <c r="B493" s="38"/>
    </row>
    <row r="494">
      <c r="B494" s="38"/>
    </row>
    <row r="495">
      <c r="B495" s="38"/>
    </row>
    <row r="496">
      <c r="B496" s="38"/>
    </row>
    <row r="497">
      <c r="B497" s="38"/>
    </row>
    <row r="498">
      <c r="B498" s="38"/>
    </row>
    <row r="499">
      <c r="B499" s="38"/>
    </row>
    <row r="500">
      <c r="B500" s="38"/>
    </row>
    <row r="501">
      <c r="B501" s="38"/>
    </row>
    <row r="502">
      <c r="B502" s="38"/>
    </row>
    <row r="503">
      <c r="B503" s="38"/>
    </row>
    <row r="504">
      <c r="B504" s="38"/>
    </row>
    <row r="505">
      <c r="B505" s="38"/>
    </row>
    <row r="506">
      <c r="B506" s="38"/>
    </row>
    <row r="507">
      <c r="B507" s="38"/>
    </row>
    <row r="508">
      <c r="B508" s="38"/>
    </row>
    <row r="509">
      <c r="B509" s="38"/>
    </row>
    <row r="510">
      <c r="B510" s="38"/>
    </row>
    <row r="511">
      <c r="B511" s="38"/>
    </row>
    <row r="512">
      <c r="B512" s="38"/>
    </row>
    <row r="513">
      <c r="B513" s="38"/>
    </row>
    <row r="514">
      <c r="B514" s="38"/>
    </row>
    <row r="515">
      <c r="B515" s="38"/>
    </row>
    <row r="516">
      <c r="B516" s="38"/>
    </row>
    <row r="517">
      <c r="B517" s="38"/>
    </row>
    <row r="518">
      <c r="B518" s="38"/>
    </row>
    <row r="519">
      <c r="B519" s="38"/>
    </row>
    <row r="520">
      <c r="B520" s="38"/>
    </row>
    <row r="521">
      <c r="B521" s="38"/>
    </row>
    <row r="522">
      <c r="B522" s="38"/>
    </row>
    <row r="523">
      <c r="B523" s="38"/>
    </row>
    <row r="524">
      <c r="B524" s="38"/>
    </row>
    <row r="525">
      <c r="B525" s="38"/>
    </row>
    <row r="526">
      <c r="B526" s="38"/>
    </row>
    <row r="527">
      <c r="B527" s="38"/>
    </row>
    <row r="528">
      <c r="B528" s="38"/>
    </row>
    <row r="529">
      <c r="B529" s="38"/>
    </row>
    <row r="530">
      <c r="B530" s="38"/>
    </row>
    <row r="531">
      <c r="B531" s="38"/>
    </row>
    <row r="532">
      <c r="B532" s="38"/>
    </row>
    <row r="533">
      <c r="B533" s="38"/>
    </row>
    <row r="534">
      <c r="B534" s="38"/>
    </row>
    <row r="535">
      <c r="B535" s="38"/>
    </row>
    <row r="536">
      <c r="B536" s="38"/>
    </row>
    <row r="537">
      <c r="B537" s="38"/>
    </row>
    <row r="538">
      <c r="B538" s="38"/>
    </row>
    <row r="539">
      <c r="B539" s="38"/>
    </row>
    <row r="540">
      <c r="B540" s="38"/>
    </row>
    <row r="541">
      <c r="B541" s="38"/>
    </row>
    <row r="542">
      <c r="B542" s="38"/>
    </row>
    <row r="543">
      <c r="B543" s="38"/>
    </row>
    <row r="544">
      <c r="B544" s="38"/>
    </row>
    <row r="545">
      <c r="B545" s="38"/>
    </row>
    <row r="546">
      <c r="B546" s="38"/>
    </row>
    <row r="547">
      <c r="B547" s="38"/>
    </row>
    <row r="548">
      <c r="B548" s="38"/>
    </row>
    <row r="549">
      <c r="B549" s="38"/>
    </row>
    <row r="550">
      <c r="B550" s="38"/>
    </row>
    <row r="551">
      <c r="B551" s="38"/>
    </row>
    <row r="552">
      <c r="B552" s="38"/>
    </row>
    <row r="553">
      <c r="B553" s="38"/>
    </row>
    <row r="554">
      <c r="B554" s="38"/>
    </row>
    <row r="555">
      <c r="B555" s="38"/>
    </row>
    <row r="556">
      <c r="B556" s="38"/>
    </row>
    <row r="557">
      <c r="B557" s="38"/>
    </row>
    <row r="558">
      <c r="B558" s="38"/>
    </row>
    <row r="559">
      <c r="B559" s="38"/>
    </row>
    <row r="560">
      <c r="B560" s="38"/>
    </row>
    <row r="561">
      <c r="B561" s="38"/>
    </row>
    <row r="562">
      <c r="B562" s="38"/>
    </row>
    <row r="563">
      <c r="B563" s="38"/>
    </row>
    <row r="564">
      <c r="B564" s="38"/>
    </row>
    <row r="565">
      <c r="B565" s="38"/>
    </row>
    <row r="566">
      <c r="B566" s="38"/>
    </row>
    <row r="567">
      <c r="B567" s="38"/>
    </row>
    <row r="568">
      <c r="B568" s="38"/>
    </row>
    <row r="569">
      <c r="B569" s="38"/>
    </row>
    <row r="570">
      <c r="B570" s="38"/>
    </row>
    <row r="571">
      <c r="B571" s="38"/>
    </row>
    <row r="572">
      <c r="B572" s="38"/>
    </row>
    <row r="573">
      <c r="B573" s="38"/>
    </row>
    <row r="574">
      <c r="B574" s="38"/>
    </row>
    <row r="575">
      <c r="B575" s="38"/>
    </row>
    <row r="576">
      <c r="B576" s="38"/>
    </row>
    <row r="577">
      <c r="B577" s="38"/>
    </row>
    <row r="578">
      <c r="B578" s="38"/>
    </row>
    <row r="579">
      <c r="B579" s="38"/>
    </row>
    <row r="580">
      <c r="B580" s="38"/>
    </row>
    <row r="581">
      <c r="B581" s="38"/>
    </row>
    <row r="582">
      <c r="B582" s="38"/>
    </row>
    <row r="583">
      <c r="B583" s="38"/>
    </row>
    <row r="584">
      <c r="B584" s="38"/>
    </row>
    <row r="585">
      <c r="B585" s="38"/>
    </row>
    <row r="586">
      <c r="B586" s="38"/>
    </row>
    <row r="587">
      <c r="B587" s="38"/>
    </row>
    <row r="588">
      <c r="B588" s="38"/>
    </row>
    <row r="589">
      <c r="B589" s="38"/>
    </row>
    <row r="590">
      <c r="B590" s="38"/>
    </row>
    <row r="591">
      <c r="B591" s="38"/>
    </row>
    <row r="592">
      <c r="B592" s="38"/>
    </row>
    <row r="593">
      <c r="B593" s="38"/>
    </row>
    <row r="594">
      <c r="B594" s="38"/>
    </row>
    <row r="595">
      <c r="B595" s="38"/>
    </row>
    <row r="596">
      <c r="B596" s="38"/>
    </row>
    <row r="597">
      <c r="B597" s="38"/>
    </row>
    <row r="598">
      <c r="B598" s="38"/>
    </row>
    <row r="599">
      <c r="B599" s="38"/>
    </row>
    <row r="600">
      <c r="B600" s="38"/>
    </row>
    <row r="601">
      <c r="B601" s="38"/>
    </row>
    <row r="602">
      <c r="B602" s="38"/>
    </row>
    <row r="603">
      <c r="B603" s="38"/>
    </row>
    <row r="604">
      <c r="B604" s="38"/>
    </row>
    <row r="605">
      <c r="B605" s="38"/>
    </row>
    <row r="606">
      <c r="B606" s="38"/>
    </row>
    <row r="607">
      <c r="B607" s="38"/>
    </row>
    <row r="608">
      <c r="B608" s="38"/>
    </row>
    <row r="609">
      <c r="B609" s="38"/>
    </row>
    <row r="610">
      <c r="B610" s="38"/>
    </row>
    <row r="611">
      <c r="B611" s="38"/>
    </row>
    <row r="612">
      <c r="B612" s="38"/>
    </row>
    <row r="613">
      <c r="B613" s="38"/>
    </row>
    <row r="614">
      <c r="B614" s="38"/>
    </row>
    <row r="615">
      <c r="B615" s="38"/>
    </row>
    <row r="616">
      <c r="B616" s="38"/>
    </row>
    <row r="617">
      <c r="B617" s="38"/>
    </row>
    <row r="618">
      <c r="B618" s="38"/>
    </row>
    <row r="619">
      <c r="B619" s="38"/>
    </row>
    <row r="620">
      <c r="B620" s="38"/>
    </row>
    <row r="621">
      <c r="B621" s="38"/>
    </row>
    <row r="622">
      <c r="B622" s="38"/>
    </row>
    <row r="623">
      <c r="B623" s="38"/>
    </row>
    <row r="624">
      <c r="B624" s="38"/>
    </row>
    <row r="625">
      <c r="B625" s="38"/>
    </row>
    <row r="626">
      <c r="B626" s="38"/>
    </row>
    <row r="627">
      <c r="B627" s="38"/>
    </row>
    <row r="628">
      <c r="B628" s="38"/>
    </row>
    <row r="629">
      <c r="B629" s="38"/>
    </row>
    <row r="630">
      <c r="B630" s="38"/>
    </row>
    <row r="631">
      <c r="B631" s="38"/>
    </row>
    <row r="632">
      <c r="B632" s="38"/>
    </row>
    <row r="633">
      <c r="B633" s="38"/>
    </row>
    <row r="634">
      <c r="B634" s="38"/>
    </row>
    <row r="635">
      <c r="B635" s="38"/>
    </row>
    <row r="636">
      <c r="B636" s="38"/>
    </row>
    <row r="637">
      <c r="B637" s="38"/>
    </row>
    <row r="638">
      <c r="B638" s="38"/>
    </row>
    <row r="639">
      <c r="B639" s="38"/>
    </row>
    <row r="640">
      <c r="B640" s="38"/>
    </row>
    <row r="641">
      <c r="B641" s="38"/>
    </row>
    <row r="642">
      <c r="B642" s="38"/>
    </row>
    <row r="643">
      <c r="B643" s="38"/>
    </row>
    <row r="644">
      <c r="B644" s="38"/>
    </row>
    <row r="645">
      <c r="B645" s="38"/>
    </row>
    <row r="646">
      <c r="B646" s="38"/>
    </row>
    <row r="647">
      <c r="B647" s="38"/>
    </row>
    <row r="648">
      <c r="B648" s="38"/>
    </row>
    <row r="649">
      <c r="B649" s="38"/>
    </row>
    <row r="650">
      <c r="B650" s="38"/>
    </row>
    <row r="651">
      <c r="B651" s="38"/>
    </row>
    <row r="652">
      <c r="B652" s="38"/>
    </row>
    <row r="653">
      <c r="B653" s="38"/>
    </row>
    <row r="654">
      <c r="B654" s="38"/>
    </row>
    <row r="655">
      <c r="B655" s="38"/>
    </row>
    <row r="656">
      <c r="B656" s="38"/>
    </row>
    <row r="657">
      <c r="B657" s="38"/>
    </row>
    <row r="658">
      <c r="B658" s="38"/>
    </row>
    <row r="659">
      <c r="B659" s="38"/>
    </row>
    <row r="660">
      <c r="B660" s="38"/>
    </row>
    <row r="661">
      <c r="B661" s="38"/>
    </row>
    <row r="662">
      <c r="B662" s="38"/>
    </row>
    <row r="663">
      <c r="B663" s="38"/>
    </row>
    <row r="664">
      <c r="B664" s="38"/>
    </row>
    <row r="665">
      <c r="B665" s="38"/>
    </row>
    <row r="666">
      <c r="B666" s="38"/>
    </row>
    <row r="667">
      <c r="B667" s="38"/>
    </row>
    <row r="668">
      <c r="B668" s="38"/>
    </row>
    <row r="669">
      <c r="B669" s="38"/>
    </row>
    <row r="670">
      <c r="B670" s="38"/>
    </row>
    <row r="671">
      <c r="B671" s="38"/>
    </row>
    <row r="672">
      <c r="B672" s="38"/>
    </row>
    <row r="673">
      <c r="B673" s="38"/>
    </row>
    <row r="674">
      <c r="B674" s="38"/>
    </row>
    <row r="675">
      <c r="B675" s="38"/>
    </row>
    <row r="676">
      <c r="B676" s="38"/>
    </row>
    <row r="677">
      <c r="B677" s="38"/>
    </row>
    <row r="678">
      <c r="B678" s="38"/>
    </row>
    <row r="679">
      <c r="B679" s="38"/>
    </row>
    <row r="680">
      <c r="B680" s="38"/>
    </row>
    <row r="681">
      <c r="B681" s="38"/>
    </row>
    <row r="682">
      <c r="B682" s="38"/>
    </row>
    <row r="683">
      <c r="B683" s="38"/>
    </row>
    <row r="684">
      <c r="B684" s="38"/>
    </row>
    <row r="685">
      <c r="B685" s="38"/>
    </row>
    <row r="686">
      <c r="B686" s="38"/>
    </row>
    <row r="687">
      <c r="B687" s="38"/>
    </row>
    <row r="688">
      <c r="B688" s="38"/>
    </row>
    <row r="689">
      <c r="B689" s="38"/>
    </row>
    <row r="690">
      <c r="B690" s="38"/>
    </row>
    <row r="691">
      <c r="B691" s="38"/>
    </row>
    <row r="692">
      <c r="B692" s="38"/>
    </row>
    <row r="693">
      <c r="B693" s="38"/>
    </row>
    <row r="694">
      <c r="B694" s="38"/>
    </row>
    <row r="695">
      <c r="B695" s="38"/>
    </row>
    <row r="696">
      <c r="B696" s="38"/>
    </row>
    <row r="697">
      <c r="B697" s="38"/>
    </row>
    <row r="698">
      <c r="B698" s="38"/>
    </row>
    <row r="699">
      <c r="B699" s="38"/>
    </row>
    <row r="700">
      <c r="B700" s="38"/>
    </row>
    <row r="701">
      <c r="B701" s="38"/>
    </row>
    <row r="702">
      <c r="B702" s="38"/>
    </row>
    <row r="703">
      <c r="B703" s="38"/>
    </row>
    <row r="704">
      <c r="B704" s="38"/>
    </row>
    <row r="705">
      <c r="B705" s="38"/>
    </row>
    <row r="706">
      <c r="B706" s="38"/>
    </row>
    <row r="707">
      <c r="B707" s="38"/>
    </row>
    <row r="708">
      <c r="B708" s="38"/>
    </row>
    <row r="709">
      <c r="B709" s="38"/>
    </row>
    <row r="710">
      <c r="B710" s="38"/>
    </row>
    <row r="711">
      <c r="B711" s="38"/>
    </row>
    <row r="712">
      <c r="B712" s="38"/>
    </row>
    <row r="713">
      <c r="B713" s="38"/>
    </row>
    <row r="714">
      <c r="B714" s="38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  <row r="728">
      <c r="B728" s="38"/>
    </row>
    <row r="729">
      <c r="B729" s="38"/>
    </row>
    <row r="730">
      <c r="B730" s="38"/>
    </row>
    <row r="731">
      <c r="B731" s="38"/>
    </row>
    <row r="732">
      <c r="B732" s="38"/>
    </row>
    <row r="733">
      <c r="B733" s="38"/>
    </row>
    <row r="734">
      <c r="B734" s="38"/>
    </row>
    <row r="735">
      <c r="B735" s="38"/>
    </row>
    <row r="736">
      <c r="B736" s="38"/>
    </row>
    <row r="737">
      <c r="B737" s="38"/>
    </row>
    <row r="738">
      <c r="B738" s="38"/>
    </row>
    <row r="739">
      <c r="B739" s="38"/>
    </row>
    <row r="740">
      <c r="B740" s="38"/>
    </row>
    <row r="741">
      <c r="B741" s="38"/>
    </row>
    <row r="742">
      <c r="B742" s="38"/>
    </row>
    <row r="743">
      <c r="B743" s="38"/>
    </row>
    <row r="744">
      <c r="B744" s="38"/>
    </row>
    <row r="745">
      <c r="B745" s="38"/>
    </row>
    <row r="746">
      <c r="B746" s="38"/>
    </row>
    <row r="747">
      <c r="B747" s="38"/>
    </row>
    <row r="748">
      <c r="B748" s="38"/>
    </row>
    <row r="749">
      <c r="B749" s="38"/>
    </row>
    <row r="750">
      <c r="B750" s="38"/>
    </row>
    <row r="751">
      <c r="B751" s="38"/>
    </row>
    <row r="752">
      <c r="B752" s="38"/>
    </row>
    <row r="753">
      <c r="B753" s="38"/>
    </row>
    <row r="754">
      <c r="B754" s="38"/>
    </row>
    <row r="755">
      <c r="B755" s="38"/>
    </row>
    <row r="756">
      <c r="B756" s="38"/>
    </row>
    <row r="757">
      <c r="B757" s="38"/>
    </row>
    <row r="758">
      <c r="B758" s="38"/>
    </row>
    <row r="759">
      <c r="B759" s="38"/>
    </row>
    <row r="760">
      <c r="B760" s="38"/>
    </row>
    <row r="761">
      <c r="B761" s="38"/>
    </row>
    <row r="762">
      <c r="B762" s="38"/>
    </row>
    <row r="763">
      <c r="B763" s="38"/>
    </row>
    <row r="764">
      <c r="B764" s="38"/>
    </row>
    <row r="765">
      <c r="B765" s="38"/>
    </row>
    <row r="766">
      <c r="B766" s="38"/>
    </row>
    <row r="767">
      <c r="B767" s="38"/>
    </row>
    <row r="768">
      <c r="B768" s="38"/>
    </row>
    <row r="769">
      <c r="B769" s="38"/>
    </row>
    <row r="770">
      <c r="B770" s="38"/>
    </row>
    <row r="771">
      <c r="B771" s="38"/>
    </row>
    <row r="772">
      <c r="B772" s="38"/>
    </row>
    <row r="773">
      <c r="B773" s="38"/>
    </row>
    <row r="774">
      <c r="B774" s="38"/>
    </row>
    <row r="775">
      <c r="B775" s="38"/>
    </row>
    <row r="776">
      <c r="B776" s="38"/>
    </row>
    <row r="777">
      <c r="B777" s="38"/>
    </row>
    <row r="778">
      <c r="B778" s="38"/>
    </row>
    <row r="779">
      <c r="B779" s="38"/>
    </row>
    <row r="780">
      <c r="B780" s="38"/>
    </row>
    <row r="781">
      <c r="B781" s="38"/>
    </row>
    <row r="782">
      <c r="B782" s="38"/>
    </row>
    <row r="783">
      <c r="B783" s="38"/>
    </row>
    <row r="784">
      <c r="B784" s="38"/>
    </row>
    <row r="785">
      <c r="B785" s="38"/>
    </row>
    <row r="786">
      <c r="B786" s="38"/>
    </row>
    <row r="787">
      <c r="B787" s="38"/>
    </row>
    <row r="788">
      <c r="B788" s="38"/>
    </row>
    <row r="789">
      <c r="B789" s="38"/>
    </row>
    <row r="790">
      <c r="B790" s="38"/>
    </row>
    <row r="791">
      <c r="B791" s="38"/>
    </row>
    <row r="792">
      <c r="B792" s="38"/>
    </row>
    <row r="793">
      <c r="B793" s="38"/>
    </row>
    <row r="794">
      <c r="B794" s="38"/>
    </row>
    <row r="795">
      <c r="B795" s="38"/>
    </row>
    <row r="796">
      <c r="B796" s="38"/>
    </row>
    <row r="797">
      <c r="B797" s="38"/>
    </row>
    <row r="798">
      <c r="B798" s="38"/>
    </row>
    <row r="799">
      <c r="B799" s="38"/>
    </row>
    <row r="800">
      <c r="B800" s="38"/>
    </row>
    <row r="801">
      <c r="B801" s="38"/>
    </row>
    <row r="802">
      <c r="B802" s="38"/>
    </row>
    <row r="803">
      <c r="B803" s="38"/>
    </row>
    <row r="804">
      <c r="B804" s="38"/>
    </row>
    <row r="805">
      <c r="B805" s="38"/>
    </row>
    <row r="806">
      <c r="B806" s="38"/>
    </row>
    <row r="807">
      <c r="B807" s="38"/>
    </row>
    <row r="808">
      <c r="B808" s="38"/>
    </row>
    <row r="809">
      <c r="B809" s="38"/>
    </row>
    <row r="810">
      <c r="B810" s="38"/>
    </row>
    <row r="811">
      <c r="B811" s="38"/>
    </row>
    <row r="812">
      <c r="B812" s="38"/>
    </row>
    <row r="813">
      <c r="B813" s="38"/>
    </row>
    <row r="814">
      <c r="B814" s="38"/>
    </row>
    <row r="815">
      <c r="B815" s="38"/>
    </row>
    <row r="816">
      <c r="B816" s="38"/>
    </row>
    <row r="817">
      <c r="B817" s="38"/>
    </row>
    <row r="818">
      <c r="B818" s="38"/>
    </row>
    <row r="819">
      <c r="B819" s="38"/>
    </row>
    <row r="820">
      <c r="B820" s="38"/>
    </row>
    <row r="821">
      <c r="B821" s="38"/>
    </row>
    <row r="822">
      <c r="B822" s="38"/>
    </row>
    <row r="823">
      <c r="B823" s="38"/>
    </row>
    <row r="824">
      <c r="B824" s="38"/>
    </row>
    <row r="825">
      <c r="B825" s="38"/>
    </row>
    <row r="826">
      <c r="B826" s="38"/>
    </row>
    <row r="827">
      <c r="B827" s="38"/>
    </row>
    <row r="828">
      <c r="B828" s="38"/>
    </row>
    <row r="829">
      <c r="B829" s="38"/>
    </row>
    <row r="830">
      <c r="B830" s="38"/>
    </row>
    <row r="831">
      <c r="B831" s="38"/>
    </row>
    <row r="832">
      <c r="B832" s="38"/>
    </row>
    <row r="833">
      <c r="B833" s="38"/>
    </row>
    <row r="834">
      <c r="B834" s="38"/>
    </row>
    <row r="835">
      <c r="B835" s="38"/>
    </row>
    <row r="836">
      <c r="B836" s="38"/>
    </row>
    <row r="837">
      <c r="B837" s="38"/>
    </row>
    <row r="838">
      <c r="B838" s="38"/>
    </row>
    <row r="839">
      <c r="B839" s="38"/>
    </row>
    <row r="840">
      <c r="B840" s="38"/>
    </row>
    <row r="841">
      <c r="B841" s="38"/>
    </row>
    <row r="842">
      <c r="B842" s="38"/>
    </row>
    <row r="843">
      <c r="B843" s="38"/>
    </row>
    <row r="844">
      <c r="B844" s="38"/>
    </row>
    <row r="845">
      <c r="B845" s="38"/>
    </row>
    <row r="846">
      <c r="B846" s="38"/>
    </row>
    <row r="847">
      <c r="B847" s="38"/>
    </row>
    <row r="848">
      <c r="B848" s="38"/>
    </row>
    <row r="849">
      <c r="B849" s="38"/>
    </row>
    <row r="850">
      <c r="B850" s="38"/>
    </row>
    <row r="851">
      <c r="B851" s="38"/>
    </row>
    <row r="852">
      <c r="B852" s="38"/>
    </row>
    <row r="853">
      <c r="B853" s="38"/>
    </row>
    <row r="854">
      <c r="B854" s="38"/>
    </row>
    <row r="855">
      <c r="B855" s="38"/>
    </row>
    <row r="856">
      <c r="B856" s="38"/>
    </row>
    <row r="857">
      <c r="B857" s="38"/>
    </row>
    <row r="858">
      <c r="B858" s="38"/>
    </row>
    <row r="859">
      <c r="B859" s="38"/>
    </row>
    <row r="860">
      <c r="B860" s="38"/>
    </row>
    <row r="861">
      <c r="B861" s="38"/>
    </row>
    <row r="862">
      <c r="B862" s="38"/>
    </row>
    <row r="863">
      <c r="B863" s="38"/>
    </row>
    <row r="864">
      <c r="B864" s="38"/>
    </row>
    <row r="865">
      <c r="B865" s="38"/>
    </row>
    <row r="866">
      <c r="B866" s="38"/>
    </row>
    <row r="867">
      <c r="B867" s="38"/>
    </row>
    <row r="868">
      <c r="B868" s="38"/>
    </row>
    <row r="869">
      <c r="B869" s="38"/>
    </row>
    <row r="870">
      <c r="B870" s="38"/>
    </row>
    <row r="871">
      <c r="B871" s="38"/>
    </row>
    <row r="872">
      <c r="B872" s="38"/>
    </row>
    <row r="873">
      <c r="B873" s="38"/>
    </row>
    <row r="874">
      <c r="B874" s="38"/>
    </row>
    <row r="875">
      <c r="B875" s="38"/>
    </row>
    <row r="876">
      <c r="B876" s="38"/>
    </row>
    <row r="877">
      <c r="B877" s="38"/>
    </row>
    <row r="878">
      <c r="B878" s="38"/>
    </row>
    <row r="879">
      <c r="B879" s="38"/>
    </row>
    <row r="880">
      <c r="B880" s="38"/>
    </row>
    <row r="881">
      <c r="B881" s="38"/>
    </row>
    <row r="882">
      <c r="B882" s="38"/>
    </row>
    <row r="883">
      <c r="B883" s="38"/>
    </row>
    <row r="884">
      <c r="B884" s="38"/>
    </row>
    <row r="885">
      <c r="B885" s="38"/>
    </row>
    <row r="886">
      <c r="B886" s="38"/>
    </row>
    <row r="887">
      <c r="B887" s="38"/>
    </row>
    <row r="888">
      <c r="B888" s="38"/>
    </row>
    <row r="889">
      <c r="B889" s="38"/>
    </row>
    <row r="890">
      <c r="B890" s="38"/>
    </row>
    <row r="891">
      <c r="B891" s="38"/>
    </row>
    <row r="892">
      <c r="B892" s="38"/>
    </row>
    <row r="893">
      <c r="B893" s="38"/>
    </row>
    <row r="894">
      <c r="B894" s="38"/>
    </row>
    <row r="895">
      <c r="B895" s="38"/>
    </row>
    <row r="896">
      <c r="B896" s="38"/>
    </row>
    <row r="897">
      <c r="B897" s="38"/>
    </row>
    <row r="898">
      <c r="B898" s="38"/>
    </row>
    <row r="899">
      <c r="B899" s="38"/>
    </row>
    <row r="900">
      <c r="B900" s="38"/>
    </row>
    <row r="901">
      <c r="B901" s="38"/>
    </row>
    <row r="902">
      <c r="B902" s="38"/>
    </row>
    <row r="903">
      <c r="B903" s="38"/>
    </row>
    <row r="904">
      <c r="B904" s="38"/>
    </row>
    <row r="905">
      <c r="B905" s="38"/>
    </row>
    <row r="906">
      <c r="B906" s="38"/>
    </row>
    <row r="907">
      <c r="B907" s="38"/>
    </row>
    <row r="908">
      <c r="B908" s="38"/>
    </row>
    <row r="909">
      <c r="B909" s="38"/>
    </row>
    <row r="910">
      <c r="B910" s="38"/>
    </row>
    <row r="911">
      <c r="B911" s="38"/>
    </row>
    <row r="912">
      <c r="B912" s="38"/>
    </row>
    <row r="913">
      <c r="B913" s="38"/>
    </row>
    <row r="914">
      <c r="B914" s="38"/>
    </row>
    <row r="915">
      <c r="B915" s="38"/>
    </row>
    <row r="916">
      <c r="B916" s="38"/>
    </row>
    <row r="917">
      <c r="B917" s="38"/>
    </row>
    <row r="918">
      <c r="B918" s="38"/>
    </row>
    <row r="919">
      <c r="B919" s="38"/>
    </row>
    <row r="920">
      <c r="B920" s="38"/>
    </row>
    <row r="921">
      <c r="B921" s="38"/>
    </row>
    <row r="922">
      <c r="B922" s="38"/>
    </row>
    <row r="923">
      <c r="B923" s="38"/>
    </row>
    <row r="924">
      <c r="B924" s="38"/>
    </row>
    <row r="925">
      <c r="B925" s="38"/>
    </row>
    <row r="926">
      <c r="B926" s="38"/>
    </row>
    <row r="927">
      <c r="B927" s="38"/>
    </row>
    <row r="928">
      <c r="B928" s="38"/>
    </row>
    <row r="929">
      <c r="B929" s="38"/>
    </row>
    <row r="930">
      <c r="B930" s="38"/>
    </row>
    <row r="931">
      <c r="B931" s="38"/>
    </row>
    <row r="932">
      <c r="B932" s="38"/>
    </row>
    <row r="933">
      <c r="B933" s="38"/>
    </row>
    <row r="934">
      <c r="B934" s="38"/>
    </row>
    <row r="935">
      <c r="B935" s="38"/>
    </row>
    <row r="936">
      <c r="B936" s="38"/>
    </row>
    <row r="937">
      <c r="B937" s="38"/>
    </row>
    <row r="938">
      <c r="B938" s="38"/>
    </row>
    <row r="939">
      <c r="B939" s="38"/>
    </row>
    <row r="940">
      <c r="B940" s="38"/>
    </row>
    <row r="941">
      <c r="B941" s="38"/>
    </row>
    <row r="942">
      <c r="B942" s="38"/>
    </row>
    <row r="943">
      <c r="B943" s="38"/>
    </row>
    <row r="944">
      <c r="B944" s="38"/>
    </row>
    <row r="945">
      <c r="B945" s="38"/>
    </row>
    <row r="946">
      <c r="B946" s="38"/>
    </row>
    <row r="947">
      <c r="B947" s="38"/>
    </row>
    <row r="948">
      <c r="B948" s="38"/>
    </row>
    <row r="949">
      <c r="B949" s="38"/>
    </row>
    <row r="950">
      <c r="B950" s="38"/>
    </row>
    <row r="951">
      <c r="B951" s="38"/>
    </row>
    <row r="952">
      <c r="B952" s="38"/>
    </row>
    <row r="953">
      <c r="B953" s="38"/>
    </row>
    <row r="954">
      <c r="B954" s="38"/>
    </row>
    <row r="955">
      <c r="B955" s="38"/>
    </row>
    <row r="956">
      <c r="B956" s="38"/>
    </row>
    <row r="957">
      <c r="B957" s="38"/>
    </row>
    <row r="958">
      <c r="B958" s="38"/>
    </row>
    <row r="959">
      <c r="B959" s="38"/>
    </row>
    <row r="960">
      <c r="B960" s="38"/>
    </row>
    <row r="961">
      <c r="B961" s="38"/>
    </row>
    <row r="962">
      <c r="B962" s="38"/>
    </row>
    <row r="963">
      <c r="B963" s="38"/>
    </row>
    <row r="964">
      <c r="B964" s="38"/>
    </row>
    <row r="965">
      <c r="B965" s="38"/>
    </row>
    <row r="966">
      <c r="B966" s="38"/>
    </row>
    <row r="967">
      <c r="B967" s="38"/>
    </row>
    <row r="968">
      <c r="B968" s="38"/>
    </row>
    <row r="969">
      <c r="B969" s="38"/>
    </row>
    <row r="970">
      <c r="B970" s="38"/>
    </row>
    <row r="971">
      <c r="B971" s="38"/>
    </row>
    <row r="972">
      <c r="B972" s="38"/>
    </row>
    <row r="973">
      <c r="B973" s="38"/>
    </row>
    <row r="974">
      <c r="B974" s="38"/>
    </row>
    <row r="975">
      <c r="B975" s="38"/>
    </row>
    <row r="976">
      <c r="B976" s="38"/>
    </row>
    <row r="977">
      <c r="B977" s="38"/>
    </row>
    <row r="978">
      <c r="B978" s="38"/>
    </row>
    <row r="979">
      <c r="B979" s="38"/>
    </row>
    <row r="980">
      <c r="B980" s="38"/>
    </row>
    <row r="981">
      <c r="B981" s="38"/>
    </row>
    <row r="982">
      <c r="B982" s="38"/>
    </row>
    <row r="983">
      <c r="B983" s="38"/>
    </row>
    <row r="984">
      <c r="B984" s="38"/>
    </row>
    <row r="985">
      <c r="B985" s="38"/>
    </row>
    <row r="986">
      <c r="B986" s="38"/>
    </row>
    <row r="987">
      <c r="B987" s="38"/>
    </row>
    <row r="988">
      <c r="B988" s="38"/>
    </row>
    <row r="989">
      <c r="B989" s="38"/>
    </row>
    <row r="990">
      <c r="B990" s="38"/>
    </row>
    <row r="991">
      <c r="B991" s="38"/>
    </row>
    <row r="992">
      <c r="B992" s="38"/>
    </row>
    <row r="993">
      <c r="B993" s="38"/>
    </row>
    <row r="994">
      <c r="B994" s="38"/>
    </row>
    <row r="995">
      <c r="B995" s="38"/>
    </row>
    <row r="996">
      <c r="B996" s="38"/>
    </row>
    <row r="997">
      <c r="B997" s="38"/>
    </row>
    <row r="998">
      <c r="B998" s="38"/>
    </row>
    <row r="999">
      <c r="B999" s="38"/>
    </row>
    <row r="1000">
      <c r="B1000" s="3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41.14"/>
    <col customWidth="1" min="3" max="3" width="11.57"/>
    <col customWidth="1" min="4" max="4" width="10.29"/>
    <col customWidth="1" min="5" max="5" width="9.71"/>
    <col customWidth="1" min="6" max="6" width="10.29"/>
    <col customWidth="1" min="7" max="7" width="8.0"/>
    <col customWidth="1" min="8" max="8" width="38.0"/>
    <col customWidth="1" min="9" max="9" width="14.71"/>
    <col customWidth="1" min="10" max="10" width="13.57"/>
    <col customWidth="1" min="11" max="13" width="15.29"/>
    <col customWidth="1" min="14" max="14" width="13.86"/>
    <col customWidth="1" min="15" max="15" width="12.14"/>
    <col customWidth="1" min="16" max="16" width="10.14"/>
    <col customWidth="1" min="17" max="17" width="11.57"/>
    <col customWidth="1" min="18" max="19" width="12.71"/>
    <col customWidth="1" min="20" max="20" width="11.57"/>
    <col customWidth="1" min="21" max="21" width="12.14"/>
    <col customWidth="1" min="22" max="22" width="12.57"/>
    <col customWidth="1" min="23" max="23" width="13.71"/>
    <col customWidth="1" min="24" max="24" width="15.29"/>
    <col customWidth="1" min="25" max="25" width="16.57"/>
    <col customWidth="1" min="26" max="26" width="22.0"/>
    <col customWidth="1" min="27" max="27" width="14.0"/>
  </cols>
  <sheetData>
    <row r="1">
      <c r="A1" s="4" t="s">
        <v>3</v>
      </c>
      <c r="B1" s="6"/>
      <c r="C1" s="6"/>
      <c r="D1" s="6"/>
      <c r="E1" s="7"/>
      <c r="F1" s="8"/>
      <c r="G1" s="7"/>
      <c r="H1" s="7"/>
      <c r="I1" s="7"/>
      <c r="J1" s="7"/>
      <c r="K1" s="9"/>
      <c r="L1" s="9"/>
      <c r="M1" s="9"/>
      <c r="N1" s="9"/>
      <c r="O1" s="7"/>
      <c r="P1" s="7"/>
      <c r="Q1" s="7"/>
      <c r="U1" s="12"/>
      <c r="V1" s="12"/>
    </row>
    <row r="2">
      <c r="A2" s="4" t="s">
        <v>17</v>
      </c>
      <c r="B2" s="6"/>
      <c r="C2" s="6"/>
      <c r="D2" s="6"/>
      <c r="E2" s="7"/>
      <c r="F2" s="8"/>
      <c r="G2" s="7"/>
      <c r="H2" s="7"/>
      <c r="I2" s="7"/>
      <c r="J2" s="7"/>
      <c r="K2" s="9"/>
      <c r="L2" s="9"/>
      <c r="M2" s="9"/>
      <c r="N2" s="9"/>
      <c r="O2" s="7"/>
      <c r="P2" s="7"/>
      <c r="Q2" s="7"/>
      <c r="U2" s="12"/>
      <c r="V2" s="12"/>
    </row>
    <row r="3">
      <c r="B3" s="4"/>
      <c r="C3" s="6"/>
      <c r="D3" s="6"/>
      <c r="E3" s="7"/>
      <c r="F3" s="8"/>
      <c r="G3" s="7"/>
      <c r="H3" s="7"/>
      <c r="I3" s="7"/>
      <c r="J3" s="7"/>
      <c r="K3" s="9"/>
      <c r="L3" s="9"/>
      <c r="M3" s="9"/>
      <c r="N3" s="9"/>
      <c r="O3" s="7"/>
      <c r="P3" s="7"/>
      <c r="Q3" s="7"/>
      <c r="U3" s="12"/>
      <c r="V3" s="12"/>
    </row>
    <row r="4" ht="36.0" customHeight="1">
      <c r="A4" s="16" t="s">
        <v>29</v>
      </c>
      <c r="B4" s="17" t="s">
        <v>32</v>
      </c>
      <c r="C4" s="17" t="s">
        <v>36</v>
      </c>
      <c r="D4" s="17" t="s">
        <v>37</v>
      </c>
      <c r="E4" s="17" t="s">
        <v>21</v>
      </c>
      <c r="F4" s="20" t="s">
        <v>40</v>
      </c>
      <c r="G4" s="17" t="s">
        <v>42</v>
      </c>
      <c r="H4" s="17" t="s">
        <v>44</v>
      </c>
      <c r="I4" s="17" t="s">
        <v>30</v>
      </c>
      <c r="J4" s="17" t="s">
        <v>46</v>
      </c>
      <c r="K4" s="21" t="s">
        <v>48</v>
      </c>
      <c r="L4" s="21" t="s">
        <v>59</v>
      </c>
      <c r="M4" s="21" t="s">
        <v>60</v>
      </c>
      <c r="N4" s="21" t="s">
        <v>61</v>
      </c>
      <c r="O4" s="17" t="s">
        <v>63</v>
      </c>
      <c r="P4" s="17" t="s">
        <v>65</v>
      </c>
      <c r="Q4" s="17" t="s">
        <v>66</v>
      </c>
      <c r="R4" s="17" t="s">
        <v>70</v>
      </c>
      <c r="S4" s="17" t="s">
        <v>72</v>
      </c>
      <c r="T4" s="26" t="s">
        <v>74</v>
      </c>
      <c r="U4" s="27" t="s">
        <v>75</v>
      </c>
      <c r="V4" s="27" t="s">
        <v>77</v>
      </c>
      <c r="W4" s="29" t="s">
        <v>79</v>
      </c>
      <c r="X4" s="31" t="s">
        <v>81</v>
      </c>
      <c r="Y4" s="16" t="s">
        <v>82</v>
      </c>
      <c r="Z4" s="32" t="s">
        <v>83</v>
      </c>
      <c r="AA4" s="32" t="s">
        <v>84</v>
      </c>
    </row>
    <row r="5" ht="24.75" customHeight="1">
      <c r="A5" s="35" t="s">
        <v>85</v>
      </c>
      <c r="B5" s="36" t="s">
        <v>86</v>
      </c>
      <c r="C5" s="37" t="s">
        <v>87</v>
      </c>
      <c r="D5" s="35" t="s">
        <v>88</v>
      </c>
      <c r="E5" s="17">
        <v>230389.0</v>
      </c>
      <c r="F5" s="20">
        <v>1000.0</v>
      </c>
      <c r="G5" s="17">
        <v>339018.0</v>
      </c>
      <c r="H5" s="17">
        <v>151931.0</v>
      </c>
      <c r="I5" s="17" t="s">
        <v>89</v>
      </c>
      <c r="J5" s="35" t="s">
        <v>90</v>
      </c>
      <c r="K5" s="40" t="s">
        <v>91</v>
      </c>
      <c r="L5" s="40">
        <f t="shared" ref="L5:L9" si="1">V5/S5</f>
        <v>0.9238095238</v>
      </c>
      <c r="M5" s="40">
        <f t="shared" ref="M5:M9" si="2">U5/S5</f>
        <v>4.766666667</v>
      </c>
      <c r="N5" s="40">
        <f t="shared" ref="N5:N9" si="3">(U5-V5)/S5</f>
        <v>3.842857143</v>
      </c>
      <c r="O5" s="35">
        <v>12.0</v>
      </c>
      <c r="P5" s="29">
        <v>30.0</v>
      </c>
      <c r="Q5" s="29">
        <v>30.0</v>
      </c>
      <c r="R5" s="44">
        <v>525.0</v>
      </c>
      <c r="S5" s="44">
        <f t="shared" ref="S5:S16" si="4">Q5*R5</f>
        <v>15750</v>
      </c>
      <c r="T5" s="44">
        <f t="shared" ref="T5:T23" si="5">O5*S5</f>
        <v>189000</v>
      </c>
      <c r="U5" s="46">
        <f>IF(OR($J5="",$J5="-"),"",IF(COUNTIF('Base TG'!$AD$2:$AD$1000,$J5)=0,"",SUMIF('Base TG'!$AD$2:$AD$1000,$J5,'Base TG'!$AB$2:$AB$1000)))</f>
        <v>75075</v>
      </c>
      <c r="V5" s="46">
        <f>IF(OR($J5="",$J5="-"),"",IF(COUNTIF('Base TG'!$AD$2:$AD$1000,$J5)=0,"",SUMIF('Base TG'!$AD$2:$AD$1000,$J5,'Base TG'!$AC$2:$AC$1000)))</f>
        <v>14550</v>
      </c>
      <c r="W5" s="44"/>
      <c r="X5" s="44">
        <v>0.0</v>
      </c>
      <c r="Y5" s="44"/>
      <c r="Z5" s="47" t="str">
        <f>IF(OR($J5="",$J5="-"),"SEM EMPENHO",IF(COUNTIF('Base TG'!$AD$2:$AD$1000,$J5)=0,"NÃO LOCALIZADO",IF(COUNTIF('Base TG'!$AD$2:$AD$1000,$J5)=1,"ATUALIZADO","DUPLICADO - VALORES SOMADOS")))</f>
        <v>ATUALIZADO</v>
      </c>
      <c r="AA5" s="47">
        <f>IF(OR($J5="",$J5="-"),"",COUNTIF('Base TG'!$AD$2:$AD$1000,$J5))</f>
        <v>1</v>
      </c>
    </row>
    <row r="6" ht="24.75" hidden="1" customHeight="1">
      <c r="A6" s="35" t="s">
        <v>104</v>
      </c>
      <c r="B6" s="48" t="s">
        <v>105</v>
      </c>
      <c r="C6" s="37" t="s">
        <v>106</v>
      </c>
      <c r="D6" s="35">
        <v>4002.0</v>
      </c>
      <c r="E6" s="17">
        <v>230396.0</v>
      </c>
      <c r="F6" s="20">
        <v>1000.0</v>
      </c>
      <c r="G6" s="17">
        <v>339018.0</v>
      </c>
      <c r="H6" s="17">
        <v>157681.0</v>
      </c>
      <c r="I6" s="29" t="s">
        <v>80</v>
      </c>
      <c r="J6" s="35" t="s">
        <v>107</v>
      </c>
      <c r="K6" s="40" t="s">
        <v>108</v>
      </c>
      <c r="L6" s="40">
        <f t="shared" si="1"/>
        <v>0</v>
      </c>
      <c r="M6" s="40">
        <f t="shared" si="2"/>
        <v>6.727272727</v>
      </c>
      <c r="N6" s="40">
        <f t="shared" si="3"/>
        <v>6.727272727</v>
      </c>
      <c r="O6" s="35">
        <v>12.0</v>
      </c>
      <c r="P6" s="29">
        <v>21.0</v>
      </c>
      <c r="Q6" s="29">
        <v>22.0</v>
      </c>
      <c r="R6" s="44">
        <v>420.0</v>
      </c>
      <c r="S6" s="44">
        <f t="shared" si="4"/>
        <v>9240</v>
      </c>
      <c r="T6" s="44">
        <f t="shared" si="5"/>
        <v>110880</v>
      </c>
      <c r="U6" s="46">
        <f>IF(OR($J6="",$J6="-"),"",IF(COUNTIF('Base TG'!$AD$2:$AD$1000,$J6)=0,"",SUMIF('Base TG'!$AD$2:$AD$1000,$J6,'Base TG'!$AB$2:$AB$1000)))</f>
        <v>62160</v>
      </c>
      <c r="V6" s="46">
        <f>IF(OR($J6="",$J6="-"),"",IF(COUNTIF('Base TG'!$AD$2:$AD$1000,$J6)=0,"",SUMIF('Base TG'!$AD$2:$AD$1000,$J6,'Base TG'!$AC$2:$AC$1000)))</f>
        <v>0</v>
      </c>
      <c r="W6" s="44"/>
      <c r="X6" s="44">
        <v>0.0</v>
      </c>
      <c r="Y6" s="44">
        <f>X6*S6</f>
        <v>0</v>
      </c>
      <c r="Z6" s="47" t="str">
        <f>IF(OR($J6="",$J6="-"),"SEM EMPENHO",IF(COUNTIF('Base TG'!$AD$2:$AD$1000,$J6)=0,"NÃO LOCALIZADO",IF(COUNTIF('Base TG'!$AD$2:$AD$1000,$J6)=1,"ATUALIZADO","DUPLICADO - VALORES SOMADOS")))</f>
        <v>ATUALIZADO</v>
      </c>
      <c r="AA6" s="47">
        <f>IF(OR($J6="",$J6="-"),"",COUNTIF('Base TG'!$AD$2:$AD$1000,$J6))</f>
        <v>1</v>
      </c>
    </row>
    <row r="7" ht="39.0" customHeight="1">
      <c r="A7" s="35" t="s">
        <v>85</v>
      </c>
      <c r="B7" s="49" t="s">
        <v>112</v>
      </c>
      <c r="C7" s="37" t="s">
        <v>113</v>
      </c>
      <c r="D7" s="35" t="s">
        <v>88</v>
      </c>
      <c r="E7" s="17">
        <v>230389.0</v>
      </c>
      <c r="F7" s="50">
        <v>1000.0</v>
      </c>
      <c r="G7" s="29">
        <v>339018.0</v>
      </c>
      <c r="H7" s="35">
        <v>157684.0</v>
      </c>
      <c r="I7" s="29" t="s">
        <v>114</v>
      </c>
      <c r="J7" s="35" t="s">
        <v>115</v>
      </c>
      <c r="K7" s="40" t="s">
        <v>91</v>
      </c>
      <c r="L7" s="40">
        <f t="shared" si="1"/>
        <v>0.9661973333</v>
      </c>
      <c r="M7" s="40">
        <f t="shared" si="2"/>
        <v>7.766666667</v>
      </c>
      <c r="N7" s="40">
        <f t="shared" si="3"/>
        <v>6.800469333</v>
      </c>
      <c r="O7" s="35">
        <v>12.0</v>
      </c>
      <c r="P7" s="29">
        <v>1.0</v>
      </c>
      <c r="Q7" s="35">
        <v>1.0</v>
      </c>
      <c r="R7" s="44">
        <v>7500.0</v>
      </c>
      <c r="S7" s="44">
        <f t="shared" si="4"/>
        <v>7500</v>
      </c>
      <c r="T7" s="44">
        <f t="shared" si="5"/>
        <v>90000</v>
      </c>
      <c r="U7" s="46">
        <f>IF(OR($J7="",$J7="-"),"",IF(COUNTIF('Base TG'!$AD$2:$AD$1000,$J7)=0,"",SUMIF('Base TG'!$AD$2:$AD$1000,$J7,'Base TG'!$AB$2:$AB$1000)))</f>
        <v>58250</v>
      </c>
      <c r="V7" s="46">
        <f>IF(OR($J7="",$J7="-"),"",IF(COUNTIF('Base TG'!$AD$2:$AD$1000,$J7)=0,"",SUMIF('Base TG'!$AD$2:$AD$1000,$J7,'Base TG'!$AC$2:$AC$1000)))</f>
        <v>7246.48</v>
      </c>
      <c r="W7" s="44"/>
      <c r="X7" s="44"/>
      <c r="Y7" s="44"/>
      <c r="Z7" s="47" t="str">
        <f>IF(OR($J7="",$J7="-"),"SEM EMPENHO",IF(COUNTIF('Base TG'!$AD$2:$AD$1000,$J7)=0,"NÃO LOCALIZADO",IF(COUNTIF('Base TG'!$AD$2:$AD$1000,$J7)=1,"ATUALIZADO","DUPLICADO - VALORES SOMADOS")))</f>
        <v>ATUALIZADO</v>
      </c>
      <c r="AA7" s="47">
        <f>IF(OR($J7="",$J7="-"),"",COUNTIF('Base TG'!$AD$2:$AD$1000,$J7))</f>
        <v>1</v>
      </c>
    </row>
    <row r="8" ht="39.0" customHeight="1">
      <c r="A8" s="35" t="s">
        <v>85</v>
      </c>
      <c r="B8" s="36" t="s">
        <v>125</v>
      </c>
      <c r="C8" s="37" t="s">
        <v>113</v>
      </c>
      <c r="D8" s="35" t="s">
        <v>88</v>
      </c>
      <c r="E8" s="17">
        <v>230389.0</v>
      </c>
      <c r="F8" s="17">
        <v>1000.0</v>
      </c>
      <c r="G8" s="17">
        <v>339018.0</v>
      </c>
      <c r="H8" s="35">
        <v>157684.0</v>
      </c>
      <c r="I8" s="17" t="s">
        <v>114</v>
      </c>
      <c r="J8" s="35" t="s">
        <v>127</v>
      </c>
      <c r="K8" s="40" t="s">
        <v>91</v>
      </c>
      <c r="L8" s="40">
        <f t="shared" si="1"/>
        <v>2.890766667</v>
      </c>
      <c r="M8" s="40">
        <f t="shared" si="2"/>
        <v>7.233333333</v>
      </c>
      <c r="N8" s="40">
        <f t="shared" si="3"/>
        <v>4.342566667</v>
      </c>
      <c r="O8" s="35">
        <v>12.0</v>
      </c>
      <c r="P8" s="29">
        <v>1.0</v>
      </c>
      <c r="Q8" s="35">
        <v>1.0</v>
      </c>
      <c r="R8" s="26">
        <v>30000.0</v>
      </c>
      <c r="S8" s="44">
        <f t="shared" si="4"/>
        <v>30000</v>
      </c>
      <c r="T8" s="44">
        <f t="shared" si="5"/>
        <v>360000</v>
      </c>
      <c r="U8" s="46">
        <f>IF(OR($J8="",$J8="-"),"",IF(COUNTIF('Base TG'!$AD$2:$AD$1000,$J8)=0,"",SUMIF('Base TG'!$AD$2:$AD$1000,$J8,'Base TG'!$AB$2:$AB$1000)))</f>
        <v>217000</v>
      </c>
      <c r="V8" s="46">
        <f>IF(OR($J8="",$J8="-"),"",IF(COUNTIF('Base TG'!$AD$2:$AD$1000,$J8)=0,"",SUMIF('Base TG'!$AD$2:$AD$1000,$J8,'Base TG'!$AC$2:$AC$1000)))</f>
        <v>86723</v>
      </c>
      <c r="W8" s="44"/>
      <c r="X8" s="44"/>
      <c r="Y8" s="44"/>
      <c r="Z8" s="47" t="str">
        <f>IF(OR($J8="",$J8="-"),"SEM EMPENHO",IF(COUNTIF('Base TG'!$AD$2:$AD$1000,$J8)=0,"NÃO LOCALIZADO",IF(COUNTIF('Base TG'!$AD$2:$AD$1000,$J8)=1,"ATUALIZADO","DUPLICADO - VALORES SOMADOS")))</f>
        <v>ATUALIZADO</v>
      </c>
      <c r="AA8" s="47">
        <f>IF(OR($J8="",$J8="-"),"",COUNTIF('Base TG'!$AD$2:$AD$1000,$J8))</f>
        <v>1</v>
      </c>
    </row>
    <row r="9" ht="24.75" customHeight="1">
      <c r="A9" s="60" t="s">
        <v>85</v>
      </c>
      <c r="B9" s="62" t="s">
        <v>146</v>
      </c>
      <c r="C9" s="63" t="s">
        <v>148</v>
      </c>
      <c r="D9" s="60" t="s">
        <v>88</v>
      </c>
      <c r="E9" s="64">
        <v>230389.0</v>
      </c>
      <c r="F9" s="65">
        <v>1000.0</v>
      </c>
      <c r="G9" s="64">
        <v>339018.0</v>
      </c>
      <c r="H9" s="64">
        <v>157773.0</v>
      </c>
      <c r="I9" s="64" t="s">
        <v>149</v>
      </c>
      <c r="J9" s="60" t="s">
        <v>150</v>
      </c>
      <c r="K9" s="67" t="s">
        <v>91</v>
      </c>
      <c r="L9" s="67">
        <f t="shared" si="1"/>
        <v>0</v>
      </c>
      <c r="M9" s="67">
        <f t="shared" si="2"/>
        <v>1</v>
      </c>
      <c r="N9" s="67">
        <f t="shared" si="3"/>
        <v>1</v>
      </c>
      <c r="O9" s="60">
        <v>1.0</v>
      </c>
      <c r="P9" s="64">
        <v>100.0</v>
      </c>
      <c r="Q9" s="64">
        <v>100.0</v>
      </c>
      <c r="R9" s="68">
        <v>700.0</v>
      </c>
      <c r="S9" s="69">
        <f t="shared" si="4"/>
        <v>70000</v>
      </c>
      <c r="T9" s="69">
        <f t="shared" si="5"/>
        <v>70000</v>
      </c>
      <c r="U9" s="46">
        <f>IF(OR($J9="",$J9="-"),"",IF(COUNTIF('Base TG'!$AD$2:$AD$1000,$J9)=0,"",SUMIF('Base TG'!$AD$2:$AD$1000,$J9,'Base TG'!$AB$2:$AB$1000)))</f>
        <v>70000</v>
      </c>
      <c r="V9" s="46">
        <f>IF(OR($J9="",$J9="-"),"",IF(COUNTIF('Base TG'!$AD$2:$AD$1000,$J9)=0,"",SUMIF('Base TG'!$AD$2:$AD$1000,$J9,'Base TG'!$AC$2:$AC$1000)))</f>
        <v>0</v>
      </c>
      <c r="W9" s="69"/>
      <c r="X9" s="44">
        <v>1.0</v>
      </c>
      <c r="Y9" s="44"/>
      <c r="Z9" s="47" t="str">
        <f>IF(OR($J9="",$J9="-"),"SEM EMPENHO",IF(COUNTIF('Base TG'!$AD$2:$AD$1000,$J9)=0,"NÃO LOCALIZADO",IF(COUNTIF('Base TG'!$AD$2:$AD$1000,$J9)=1,"ATUALIZADO","DUPLICADO - VALORES SOMADOS")))</f>
        <v>ATUALIZADO</v>
      </c>
      <c r="AA9" s="47">
        <f>IF(OR($J9="",$J9="-"),"",COUNTIF('Base TG'!$AD$2:$AD$1000,$J9))</f>
        <v>1</v>
      </c>
    </row>
    <row r="10" ht="24.75" customHeight="1">
      <c r="A10" s="60" t="s">
        <v>85</v>
      </c>
      <c r="B10" s="62" t="s">
        <v>161</v>
      </c>
      <c r="C10" s="63" t="s">
        <v>162</v>
      </c>
      <c r="D10" s="60" t="s">
        <v>88</v>
      </c>
      <c r="E10" s="71">
        <v>230395.0</v>
      </c>
      <c r="F10" s="65">
        <v>1000.0</v>
      </c>
      <c r="G10" s="64">
        <v>339018.0</v>
      </c>
      <c r="H10" s="64">
        <v>157665.0</v>
      </c>
      <c r="I10" s="64" t="s">
        <v>103</v>
      </c>
      <c r="J10" s="60" t="s">
        <v>163</v>
      </c>
      <c r="K10" s="67"/>
      <c r="L10" s="67"/>
      <c r="M10" s="67"/>
      <c r="N10" s="67"/>
      <c r="O10" s="72">
        <v>5.0</v>
      </c>
      <c r="P10" s="64">
        <v>0.0</v>
      </c>
      <c r="Q10" s="60">
        <v>5.0</v>
      </c>
      <c r="R10" s="69">
        <v>700.0</v>
      </c>
      <c r="S10" s="69">
        <f t="shared" si="4"/>
        <v>3500</v>
      </c>
      <c r="T10" s="69">
        <f t="shared" si="5"/>
        <v>17500</v>
      </c>
      <c r="U10" s="73" t="str">
        <f>IF(OR($J10="",$J10="-"),"",IF(COUNTIF('Base TG'!$AD$2:$AD$1000,$J10)=0,"",SUMIF('Base TG'!$AD$2:$AD$1000,$J10,'Base TG'!$AB$2:$AB$1000)))</f>
        <v/>
      </c>
      <c r="V10" s="73" t="str">
        <f>IF(OR($J10="",$J10="-"),"",IF(COUNTIF('Base TG'!$AD$2:$AD$1000,$J10)=0,"",SUMIF('Base TG'!$AD$2:$AD$1000,$J10,'Base TG'!$AC$2:$AC$1000)))</f>
        <v/>
      </c>
      <c r="W10" s="69"/>
      <c r="X10" s="69"/>
      <c r="Y10" s="69"/>
      <c r="Z10" s="74" t="str">
        <f>IF(OR($J10="",$J10="-"),"SEM EMPENHO",IF(COUNTIF('Base TG'!$AD$2:$AD$1000,$J10)=0,"NÃO LOCALIZADO",IF(COUNTIF('Base TG'!$AD$2:$AD$1000,$J10)=1,"ATUALIZADO","DUPLICADO - VALORES SOMADOS")))</f>
        <v>SEM EMPENHO</v>
      </c>
      <c r="AA10" s="74" t="str">
        <f>IF(OR($J10="",$J10="-"),"",COUNTIF('Base TG'!$AD$2:$AD$1000,$J10))</f>
        <v/>
      </c>
    </row>
    <row r="11" ht="24.75" customHeight="1">
      <c r="A11" s="35" t="s">
        <v>85</v>
      </c>
      <c r="B11" s="49" t="s">
        <v>168</v>
      </c>
      <c r="C11" s="37" t="s">
        <v>113</v>
      </c>
      <c r="D11" s="35" t="s">
        <v>88</v>
      </c>
      <c r="E11" s="17">
        <v>230395.0</v>
      </c>
      <c r="F11" s="20">
        <v>1000.0</v>
      </c>
      <c r="G11" s="17">
        <v>339018.0</v>
      </c>
      <c r="H11" s="35">
        <v>157684.0</v>
      </c>
      <c r="I11" s="17" t="s">
        <v>98</v>
      </c>
      <c r="J11" s="35" t="s">
        <v>169</v>
      </c>
      <c r="K11" s="40" t="s">
        <v>91</v>
      </c>
      <c r="L11" s="40">
        <f t="shared" ref="L11:L22" si="6">V11/S11</f>
        <v>0.1422222222</v>
      </c>
      <c r="M11" s="40">
        <f t="shared" ref="M11:M21" si="7">U11/S11</f>
        <v>6.614444444</v>
      </c>
      <c r="N11" s="40">
        <f t="shared" ref="N11:N21" si="8">(U11-V11)/S11</f>
        <v>6.472222222</v>
      </c>
      <c r="O11" s="35">
        <v>12.0</v>
      </c>
      <c r="P11" s="29">
        <v>220.0</v>
      </c>
      <c r="Q11" s="16">
        <v>225.0</v>
      </c>
      <c r="R11" s="44">
        <v>420.0</v>
      </c>
      <c r="S11" s="44">
        <f t="shared" si="4"/>
        <v>94500</v>
      </c>
      <c r="T11" s="44">
        <f t="shared" si="5"/>
        <v>1134000</v>
      </c>
      <c r="U11" s="46">
        <f>IF(OR($J11="",$J11="-"),"",IF(COUNTIF('Base TG'!$AD$2:$AD$1000,$J11)=0,"",SUMIF('Base TG'!$AD$2:$AD$1000,$J11,'Base TG'!$AB$2:$AB$1000)))</f>
        <v>625065</v>
      </c>
      <c r="V11" s="46">
        <f>IF(OR($J11="",$J11="-"),"",IF(COUNTIF('Base TG'!$AD$2:$AD$1000,$J11)=0,"",SUMIF('Base TG'!$AD$2:$AD$1000,$J11,'Base TG'!$AC$2:$AC$1000)))</f>
        <v>13440</v>
      </c>
      <c r="W11" s="44"/>
      <c r="X11" s="44">
        <v>1.0</v>
      </c>
      <c r="Y11" s="44"/>
      <c r="Z11" s="47" t="str">
        <f>IF(OR($J11="",$J11="-"),"SEM EMPENHO",IF(COUNTIF('Base TG'!$AD$2:$AD$1000,$J11)=0,"NÃO LOCALIZADO",IF(COUNTIF('Base TG'!$AD$2:$AD$1000,$J11)=1,"ATUALIZADO","DUPLICADO - VALORES SOMADOS")))</f>
        <v>ATUALIZADO</v>
      </c>
      <c r="AA11" s="47">
        <f>IF(OR($J11="",$J11="-"),"",COUNTIF('Base TG'!$AD$2:$AD$1000,$J11))</f>
        <v>1</v>
      </c>
    </row>
    <row r="12" ht="24.75" customHeight="1">
      <c r="A12" s="35" t="s">
        <v>85</v>
      </c>
      <c r="B12" s="49" t="s">
        <v>175</v>
      </c>
      <c r="C12" s="37" t="s">
        <v>162</v>
      </c>
      <c r="D12" s="35" t="s">
        <v>88</v>
      </c>
      <c r="E12" s="17">
        <v>230395.0</v>
      </c>
      <c r="F12" s="50">
        <v>1000.0</v>
      </c>
      <c r="G12" s="29">
        <v>339018.0</v>
      </c>
      <c r="H12" s="29">
        <v>157665.0</v>
      </c>
      <c r="I12" s="29" t="s">
        <v>103</v>
      </c>
      <c r="J12" s="35" t="s">
        <v>176</v>
      </c>
      <c r="K12" s="40" t="s">
        <v>91</v>
      </c>
      <c r="L12" s="40">
        <f t="shared" si="6"/>
        <v>0</v>
      </c>
      <c r="M12" s="40">
        <f t="shared" si="7"/>
        <v>7</v>
      </c>
      <c r="N12" s="40">
        <f t="shared" si="8"/>
        <v>7</v>
      </c>
      <c r="O12" s="35">
        <v>12.0</v>
      </c>
      <c r="P12" s="29">
        <v>2.0</v>
      </c>
      <c r="Q12" s="35">
        <v>2.0</v>
      </c>
      <c r="R12" s="44">
        <v>700.0</v>
      </c>
      <c r="S12" s="44">
        <f t="shared" si="4"/>
        <v>1400</v>
      </c>
      <c r="T12" s="44">
        <f t="shared" si="5"/>
        <v>16800</v>
      </c>
      <c r="U12" s="46">
        <f>IF(OR($J12="",$J12="-"),"",IF(COUNTIF('Base TG'!$AD$2:$AD$1000,$J12)=0,"",SUMIF('Base TG'!$AD$2:$AD$1000,$J12,'Base TG'!$AB$2:$AB$1000)))</f>
        <v>9800</v>
      </c>
      <c r="V12" s="46">
        <f>IF(OR($J12="",$J12="-"),"",IF(COUNTIF('Base TG'!$AD$2:$AD$1000,$J12)=0,"",SUMIF('Base TG'!$AD$2:$AD$1000,$J12,'Base TG'!$AC$2:$AC$1000)))</f>
        <v>0</v>
      </c>
      <c r="W12" s="44"/>
      <c r="X12" s="44">
        <v>1.0</v>
      </c>
      <c r="Y12" s="44"/>
      <c r="Z12" s="47" t="str">
        <f>IF(OR($J12="",$J12="-"),"SEM EMPENHO",IF(COUNTIF('Base TG'!$AD$2:$AD$1000,$J12)=0,"NÃO LOCALIZADO",IF(COUNTIF('Base TG'!$AD$2:$AD$1000,$J12)=1,"ATUALIZADO","DUPLICADO - VALORES SOMADOS")))</f>
        <v>ATUALIZADO</v>
      </c>
      <c r="AA12" s="47">
        <f>IF(OR($J12="",$J12="-"),"",COUNTIF('Base TG'!$AD$2:$AD$1000,$J12))</f>
        <v>1</v>
      </c>
    </row>
    <row r="13" ht="24.75" customHeight="1">
      <c r="A13" s="35" t="s">
        <v>85</v>
      </c>
      <c r="B13" s="49" t="s">
        <v>182</v>
      </c>
      <c r="C13" s="37" t="s">
        <v>183</v>
      </c>
      <c r="D13" s="35" t="s">
        <v>88</v>
      </c>
      <c r="E13" s="17">
        <v>230395.0</v>
      </c>
      <c r="F13" s="50">
        <v>1000.0</v>
      </c>
      <c r="G13" s="29">
        <v>339018.0</v>
      </c>
      <c r="H13" s="29">
        <v>157736.0</v>
      </c>
      <c r="I13" s="29" t="s">
        <v>103</v>
      </c>
      <c r="J13" s="35" t="s">
        <v>184</v>
      </c>
      <c r="K13" s="40" t="s">
        <v>91</v>
      </c>
      <c r="L13" s="40">
        <f t="shared" si="6"/>
        <v>0</v>
      </c>
      <c r="M13" s="40">
        <f t="shared" si="7"/>
        <v>7</v>
      </c>
      <c r="N13" s="40">
        <f t="shared" si="8"/>
        <v>7</v>
      </c>
      <c r="O13" s="35">
        <v>12.0</v>
      </c>
      <c r="P13" s="29">
        <v>65.0</v>
      </c>
      <c r="Q13" s="35">
        <v>65.0</v>
      </c>
      <c r="R13" s="44">
        <v>700.0</v>
      </c>
      <c r="S13" s="44">
        <f t="shared" si="4"/>
        <v>45500</v>
      </c>
      <c r="T13" s="44">
        <f t="shared" si="5"/>
        <v>546000</v>
      </c>
      <c r="U13" s="46">
        <f>IF(OR($J13="",$J13="-"),"",IF(COUNTIF('Base TG'!$AD$2:$AD$1000,$J13)=0,"",SUMIF('Base TG'!$AD$2:$AD$1000,$J13,'Base TG'!$AB$2:$AB$1000)))</f>
        <v>318500</v>
      </c>
      <c r="V13" s="46">
        <f>IF(OR($J13="",$J13="-"),"",IF(COUNTIF('Base TG'!$AD$2:$AD$1000,$J13)=0,"",SUMIF('Base TG'!$AD$2:$AD$1000,$J13,'Base TG'!$AC$2:$AC$1000)))</f>
        <v>0</v>
      </c>
      <c r="W13" s="44"/>
      <c r="X13" s="44">
        <v>1.0</v>
      </c>
      <c r="Y13" s="44"/>
      <c r="Z13" s="75" t="str">
        <f>IF(OR($J13="",$J13="-"),"SEM EMPENHO",IF(COUNTIF('Base TG'!$AD$2:$AD$1000,$J13)=0,"NÃO LOCALIZADO",IF(COUNTIF('Base TG'!$AD$2:$AD$1000,$J13)=1,"ATUALIZADO","DUPLICADO - VALORES SOMADOS")))</f>
        <v>ATUALIZADO</v>
      </c>
      <c r="AA13" s="47">
        <f>IF(OR($J13="",$J13="-"),"",COUNTIF('Base TG'!$AD$2:$AD$1000,$J13))</f>
        <v>1</v>
      </c>
    </row>
    <row r="14" ht="24.75" customHeight="1">
      <c r="A14" s="35" t="s">
        <v>85</v>
      </c>
      <c r="B14" s="49" t="s">
        <v>187</v>
      </c>
      <c r="C14" s="37" t="s">
        <v>183</v>
      </c>
      <c r="D14" s="35" t="s">
        <v>88</v>
      </c>
      <c r="E14" s="17">
        <v>230395.0</v>
      </c>
      <c r="F14" s="50">
        <v>1000.0</v>
      </c>
      <c r="G14" s="29">
        <v>339018.0</v>
      </c>
      <c r="H14" s="29">
        <v>157736.0</v>
      </c>
      <c r="I14" s="29" t="s">
        <v>103</v>
      </c>
      <c r="J14" s="35" t="s">
        <v>188</v>
      </c>
      <c r="K14" s="40" t="s">
        <v>91</v>
      </c>
      <c r="L14" s="40">
        <f t="shared" si="6"/>
        <v>0</v>
      </c>
      <c r="M14" s="40">
        <f t="shared" si="7"/>
        <v>7</v>
      </c>
      <c r="N14" s="40">
        <f t="shared" si="8"/>
        <v>7</v>
      </c>
      <c r="O14" s="35">
        <v>12.0</v>
      </c>
      <c r="P14" s="29">
        <v>2.0</v>
      </c>
      <c r="Q14" s="35">
        <v>2.0</v>
      </c>
      <c r="R14" s="44">
        <v>700.0</v>
      </c>
      <c r="S14" s="44">
        <f t="shared" si="4"/>
        <v>1400</v>
      </c>
      <c r="T14" s="44">
        <f t="shared" si="5"/>
        <v>16800</v>
      </c>
      <c r="U14" s="46">
        <f>IF(OR($J14="",$J14="-"),"",IF(COUNTIF('Base TG'!$AD$2:$AD$1000,$J14)=0,"",SUMIF('Base TG'!$AD$2:$AD$1000,$J14,'Base TG'!$AB$2:$AB$1000)))</f>
        <v>9800</v>
      </c>
      <c r="V14" s="46">
        <f>IF(OR($J14="",$J14="-"),"",IF(COUNTIF('Base TG'!$AD$2:$AD$1000,$J14)=0,"",SUMIF('Base TG'!$AD$2:$AD$1000,$J14,'Base TG'!$AC$2:$AC$1000)))</f>
        <v>0</v>
      </c>
      <c r="W14" s="44"/>
      <c r="X14" s="44">
        <v>1.0</v>
      </c>
      <c r="Y14" s="44"/>
      <c r="Z14" s="47" t="str">
        <f>IF(OR($J14="",$J14="-"),"SEM EMPENHO",IF(COUNTIF('Base TG'!$AD$2:$AD$1000,$J14)=0,"NÃO LOCALIZADO",IF(COUNTIF('Base TG'!$AD$2:$AD$1000,$J14)=1,"ATUALIZADO","DUPLICADO - VALORES SOMADOS")))</f>
        <v>ATUALIZADO</v>
      </c>
      <c r="AA14" s="47">
        <f>IF(OR($J14="",$J14="-"),"",COUNTIF('Base TG'!$AD$2:$AD$1000,$J14))</f>
        <v>1</v>
      </c>
    </row>
    <row r="15" ht="24.75" customHeight="1">
      <c r="A15" s="35" t="s">
        <v>85</v>
      </c>
      <c r="B15" s="49" t="s">
        <v>190</v>
      </c>
      <c r="C15" s="37" t="s">
        <v>183</v>
      </c>
      <c r="D15" s="35" t="s">
        <v>88</v>
      </c>
      <c r="E15" s="17">
        <v>230395.0</v>
      </c>
      <c r="F15" s="50">
        <v>1000.0</v>
      </c>
      <c r="G15" s="29">
        <v>339018.0</v>
      </c>
      <c r="H15" s="29">
        <v>157736.0</v>
      </c>
      <c r="I15" s="29" t="s">
        <v>103</v>
      </c>
      <c r="J15" s="35" t="s">
        <v>191</v>
      </c>
      <c r="K15" s="40" t="s">
        <v>91</v>
      </c>
      <c r="L15" s="40">
        <f t="shared" si="6"/>
        <v>0</v>
      </c>
      <c r="M15" s="40">
        <f t="shared" si="7"/>
        <v>6.95</v>
      </c>
      <c r="N15" s="40">
        <f t="shared" si="8"/>
        <v>6.95</v>
      </c>
      <c r="O15" s="35">
        <v>12.0</v>
      </c>
      <c r="P15" s="29">
        <v>20.0</v>
      </c>
      <c r="Q15" s="35">
        <v>20.0</v>
      </c>
      <c r="R15" s="44">
        <v>300.0</v>
      </c>
      <c r="S15" s="44">
        <f t="shared" si="4"/>
        <v>6000</v>
      </c>
      <c r="T15" s="44">
        <f t="shared" si="5"/>
        <v>72000</v>
      </c>
      <c r="U15" s="46">
        <f>IF(OR($J15="",$J15="-"),"",IF(COUNTIF('Base TG'!$AD$2:$AD$1000,$J15)=0,"",SUMIF('Base TG'!$AD$2:$AD$1000,$J15,'Base TG'!$AB$2:$AB$1000)))</f>
        <v>41700</v>
      </c>
      <c r="V15" s="46">
        <f>IF(OR($J15="",$J15="-"),"",IF(COUNTIF('Base TG'!$AD$2:$AD$1000,$J15)=0,"",SUMIF('Base TG'!$AD$2:$AD$1000,$J15,'Base TG'!$AC$2:$AC$1000)))</f>
        <v>0</v>
      </c>
      <c r="W15" s="44"/>
      <c r="X15" s="44">
        <v>1.0</v>
      </c>
      <c r="Y15" s="44"/>
      <c r="Z15" s="47" t="str">
        <f>IF(OR($J15="",$J15="-"),"SEM EMPENHO",IF(COUNTIF('Base TG'!$AD$2:$AD$1000,$J15)=0,"NÃO LOCALIZADO",IF(COUNTIF('Base TG'!$AD$2:$AD$1000,$J15)=1,"ATUALIZADO","DUPLICADO - VALORES SOMADOS")))</f>
        <v>ATUALIZADO</v>
      </c>
      <c r="AA15" s="47">
        <f>IF(OR($J15="",$J15="-"),"",COUNTIF('Base TG'!$AD$2:$AD$1000,$J15))</f>
        <v>1</v>
      </c>
    </row>
    <row r="16" ht="24.75" customHeight="1">
      <c r="A16" s="35" t="s">
        <v>85</v>
      </c>
      <c r="B16" s="49" t="s">
        <v>195</v>
      </c>
      <c r="C16" s="37" t="s">
        <v>148</v>
      </c>
      <c r="D16" s="35" t="s">
        <v>88</v>
      </c>
      <c r="E16" s="17">
        <v>230395.0</v>
      </c>
      <c r="F16" s="50">
        <v>1000.0</v>
      </c>
      <c r="G16" s="29">
        <v>339018.0</v>
      </c>
      <c r="H16" s="29">
        <v>157773.0</v>
      </c>
      <c r="I16" s="29" t="s">
        <v>133</v>
      </c>
      <c r="J16" s="35" t="s">
        <v>198</v>
      </c>
      <c r="K16" s="40" t="s">
        <v>91</v>
      </c>
      <c r="L16" s="40">
        <f t="shared" si="6"/>
        <v>1.2</v>
      </c>
      <c r="M16" s="40">
        <f t="shared" si="7"/>
        <v>5.55</v>
      </c>
      <c r="N16" s="40">
        <f t="shared" si="8"/>
        <v>4.35</v>
      </c>
      <c r="O16" s="35">
        <v>11.0</v>
      </c>
      <c r="P16" s="35">
        <v>20.0</v>
      </c>
      <c r="Q16" s="35">
        <v>20.0</v>
      </c>
      <c r="R16" s="44">
        <v>700.0</v>
      </c>
      <c r="S16" s="44">
        <f t="shared" si="4"/>
        <v>14000</v>
      </c>
      <c r="T16" s="44">
        <f t="shared" si="5"/>
        <v>154000</v>
      </c>
      <c r="U16" s="46">
        <f>IF(OR($J16="",$J16="-"),"",IF(COUNTIF('Base TG'!$AD$2:$AD$1000,$J16)=0,"",SUMIF('Base TG'!$AD$2:$AD$1000,$J16,'Base TG'!$AB$2:$AB$1000)))</f>
        <v>77700</v>
      </c>
      <c r="V16" s="46">
        <f>IF(OR($J16="",$J16="-"),"",IF(COUNTIF('Base TG'!$AD$2:$AD$1000,$J16)=0,"",SUMIF('Base TG'!$AD$2:$AD$1000,$J16,'Base TG'!$AC$2:$AC$1000)))</f>
        <v>16800</v>
      </c>
      <c r="W16" s="44"/>
      <c r="X16" s="44">
        <v>1.0</v>
      </c>
      <c r="Y16" s="44"/>
      <c r="Z16" s="47" t="str">
        <f>IF(OR($J16="",$J16="-"),"SEM EMPENHO",IF(COUNTIF('Base TG'!$AD$2:$AD$1000,$J16)=0,"NÃO LOCALIZADO",IF(COUNTIF('Base TG'!$AD$2:$AD$1000,$J16)=1,"ATUALIZADO","DUPLICADO - VALORES SOMADOS")))</f>
        <v>ATUALIZADO</v>
      </c>
      <c r="AA16" s="47">
        <f>IF(OR($J16="",$J16="-"),"",COUNTIF('Base TG'!$AD$2:$AD$1000,$J16))</f>
        <v>1</v>
      </c>
    </row>
    <row r="17" ht="24.75" hidden="1" customHeight="1">
      <c r="A17" s="35" t="s">
        <v>85</v>
      </c>
      <c r="B17" s="49" t="s">
        <v>199</v>
      </c>
      <c r="C17" s="37" t="s">
        <v>113</v>
      </c>
      <c r="D17" s="35">
        <v>4002.0</v>
      </c>
      <c r="E17" s="29">
        <v>230404.0</v>
      </c>
      <c r="F17" s="50">
        <v>1000.0</v>
      </c>
      <c r="G17" s="29">
        <v>339018.0</v>
      </c>
      <c r="H17" s="35">
        <v>157684.0</v>
      </c>
      <c r="I17" s="29" t="s">
        <v>172</v>
      </c>
      <c r="J17" s="35" t="s">
        <v>200</v>
      </c>
      <c r="K17" s="40" t="s">
        <v>91</v>
      </c>
      <c r="L17" s="40">
        <f t="shared" si="6"/>
        <v>0</v>
      </c>
      <c r="M17" s="40">
        <f t="shared" si="7"/>
        <v>5</v>
      </c>
      <c r="N17" s="40">
        <f t="shared" si="8"/>
        <v>5</v>
      </c>
      <c r="O17" s="35">
        <v>12.0</v>
      </c>
      <c r="P17" s="29">
        <v>6.0</v>
      </c>
      <c r="Q17" s="35">
        <v>6.0</v>
      </c>
      <c r="R17" s="44">
        <v>622.0</v>
      </c>
      <c r="S17" s="44">
        <f>P17*R17</f>
        <v>3732</v>
      </c>
      <c r="T17" s="44">
        <f t="shared" si="5"/>
        <v>44784</v>
      </c>
      <c r="U17" s="46">
        <f>IF(OR($J17="",$J17="-"),"",IF(COUNTIF('Base TG'!$AD$2:$AD$1000,$J17)=0,"",SUMIF('Base TG'!$AD$2:$AD$1000,$J17,'Base TG'!$AB$2:$AB$1000)))</f>
        <v>18660</v>
      </c>
      <c r="V17" s="46">
        <f>IF(OR($J17="",$J17="-"),"",IF(COUNTIF('Base TG'!$AD$2:$AD$1000,$J17)=0,"",SUMIF('Base TG'!$AD$2:$AD$1000,$J17,'Base TG'!$AC$2:$AC$1000)))</f>
        <v>0</v>
      </c>
      <c r="W17" s="44"/>
      <c r="X17" s="44">
        <v>1.0</v>
      </c>
      <c r="Y17" s="44">
        <f>X17*S17</f>
        <v>3732</v>
      </c>
      <c r="Z17" s="75" t="str">
        <f>IF(OR($J17="",$J17="-"),"SEM EMPENHO",IF(COUNTIF('Base TG'!$AD$2:$AD$1000,$J17)=0,"NÃO LOCALIZADO",IF(COUNTIF('Base TG'!$AD$2:$AD$1000,$J17)=1,"ATUALIZADO","DUPLICADO - VALORES SOMADOS")))</f>
        <v>ATUALIZADO</v>
      </c>
      <c r="AA17" s="47">
        <f>IF(OR($J17="",$J17="-"),"",COUNTIF('Base TG'!$AD$2:$AD$1000,$J17))</f>
        <v>1</v>
      </c>
    </row>
    <row r="18" ht="24.75" customHeight="1">
      <c r="A18" s="35" t="s">
        <v>85</v>
      </c>
      <c r="B18" s="49" t="s">
        <v>201</v>
      </c>
      <c r="C18" s="37" t="s">
        <v>148</v>
      </c>
      <c r="D18" s="35" t="s">
        <v>88</v>
      </c>
      <c r="E18" s="17">
        <v>230395.0</v>
      </c>
      <c r="F18" s="50">
        <v>1000.0</v>
      </c>
      <c r="G18" s="29">
        <v>339018.0</v>
      </c>
      <c r="H18" s="29">
        <v>157773.0</v>
      </c>
      <c r="I18" s="29" t="s">
        <v>133</v>
      </c>
      <c r="J18" s="35" t="s">
        <v>202</v>
      </c>
      <c r="K18" s="40" t="s">
        <v>91</v>
      </c>
      <c r="L18" s="40">
        <f t="shared" si="6"/>
        <v>0.01</v>
      </c>
      <c r="M18" s="40">
        <f t="shared" si="7"/>
        <v>6</v>
      </c>
      <c r="N18" s="40">
        <f t="shared" si="8"/>
        <v>5.99</v>
      </c>
      <c r="O18" s="35">
        <v>10.0</v>
      </c>
      <c r="P18" s="29">
        <v>100.0</v>
      </c>
      <c r="Q18" s="35">
        <v>100.0</v>
      </c>
      <c r="R18" s="44">
        <v>700.0</v>
      </c>
      <c r="S18" s="44">
        <f>Q18*R18</f>
        <v>70000</v>
      </c>
      <c r="T18" s="44">
        <f t="shared" si="5"/>
        <v>700000</v>
      </c>
      <c r="U18" s="46">
        <f>IF(OR($J18="",$J18="-"),"",IF(COUNTIF('Base TG'!$AD$2:$AD$1000,$J18)=0,"",SUMIF('Base TG'!$AD$2:$AD$1000,$J18,'Base TG'!$AB$2:$AB$1000)))</f>
        <v>420000</v>
      </c>
      <c r="V18" s="46">
        <f>IF(OR($J18="",$J18="-"),"",IF(COUNTIF('Base TG'!$AD$2:$AD$1000,$J18)=0,"",SUMIF('Base TG'!$AD$2:$AD$1000,$J18,'Base TG'!$AC$2:$AC$1000)))</f>
        <v>700</v>
      </c>
      <c r="W18" s="44"/>
      <c r="X18" s="44">
        <v>1.0</v>
      </c>
      <c r="Y18" s="44"/>
      <c r="Z18" s="47" t="str">
        <f>IF(OR($J18="",$J18="-"),"SEM EMPENHO",IF(COUNTIF('Base TG'!$AD$2:$AD$1000,$J18)=0,"NÃO LOCALIZADO",IF(COUNTIF('Base TG'!$AD$2:$AD$1000,$J18)=1,"ATUALIZADO","DUPLICADO - VALORES SOMADOS")))</f>
        <v>ATUALIZADO</v>
      </c>
      <c r="AA18" s="47">
        <f>IF(OR($J18="",$J18="-"),"",COUNTIF('Base TG'!$AD$2:$AD$1000,$J18))</f>
        <v>1</v>
      </c>
    </row>
    <row r="19" ht="24.75" hidden="1" customHeight="1">
      <c r="A19" s="35" t="s">
        <v>203</v>
      </c>
      <c r="B19" s="80" t="s">
        <v>204</v>
      </c>
      <c r="C19" s="81" t="s">
        <v>205</v>
      </c>
      <c r="D19" s="82" t="s">
        <v>180</v>
      </c>
      <c r="E19" s="83">
        <v>230399.0</v>
      </c>
      <c r="F19" s="84">
        <v>1000.0</v>
      </c>
      <c r="G19" s="83">
        <v>339018.0</v>
      </c>
      <c r="H19" s="83">
        <v>157666.0</v>
      </c>
      <c r="I19" s="83" t="s">
        <v>181</v>
      </c>
      <c r="J19" s="83" t="s">
        <v>206</v>
      </c>
      <c r="K19" s="40" t="s">
        <v>91</v>
      </c>
      <c r="L19" s="40">
        <f t="shared" si="6"/>
        <v>0</v>
      </c>
      <c r="M19" s="40">
        <f t="shared" si="7"/>
        <v>5</v>
      </c>
      <c r="N19" s="40">
        <f t="shared" si="8"/>
        <v>5</v>
      </c>
      <c r="O19" s="35">
        <v>10.0</v>
      </c>
      <c r="P19" s="83">
        <v>5.0</v>
      </c>
      <c r="Q19" s="83">
        <v>5.0</v>
      </c>
      <c r="R19" s="85">
        <v>700.0</v>
      </c>
      <c r="S19" s="44">
        <f>R19*P19</f>
        <v>3500</v>
      </c>
      <c r="T19" s="44">
        <f t="shared" si="5"/>
        <v>35000</v>
      </c>
      <c r="U19" s="46">
        <f>IF(OR($J19="",$J19="-"),"",IF(COUNTIF('Base TG'!$AD$2:$AD$1000,$J19)=0,"",SUMIF('Base TG'!$AD$2:$AD$1000,$J19,'Base TG'!$AB$2:$AB$1000)))</f>
        <v>17500</v>
      </c>
      <c r="V19" s="46">
        <f>IF(OR($J19="",$J19="-"),"",IF(COUNTIF('Base TG'!$AD$2:$AD$1000,$J19)=0,"",SUMIF('Base TG'!$AD$2:$AD$1000,$J19,'Base TG'!$AC$2:$AC$1000)))</f>
        <v>0</v>
      </c>
      <c r="W19" s="44"/>
      <c r="X19" s="44">
        <v>1.0</v>
      </c>
      <c r="Y19" s="44">
        <f t="shared" ref="Y19:Y20" si="9">X19*S19</f>
        <v>3500</v>
      </c>
      <c r="Z19" s="47" t="str">
        <f>IF(OR($J19="",$J19="-"),"SEM EMPENHO",IF(COUNTIF('Base TG'!$AD$2:$AD$1000,$J19)=0,"NÃO LOCALIZADO",IF(COUNTIF('Base TG'!$AD$2:$AD$1000,$J19)=1,"ATUALIZADO","DUPLICADO - VALORES SOMADOS")))</f>
        <v>ATUALIZADO</v>
      </c>
      <c r="AA19" s="47">
        <f>IF(OR($J19="",$J19="-"),"",COUNTIF('Base TG'!$AD$2:$AD$1000,$J19))</f>
        <v>1</v>
      </c>
    </row>
    <row r="20" ht="24.75" hidden="1" customHeight="1">
      <c r="A20" s="35" t="s">
        <v>203</v>
      </c>
      <c r="B20" s="86" t="s">
        <v>207</v>
      </c>
      <c r="C20" s="81" t="s">
        <v>205</v>
      </c>
      <c r="D20" s="82" t="s">
        <v>180</v>
      </c>
      <c r="E20" s="83">
        <v>230399.0</v>
      </c>
      <c r="F20" s="84">
        <v>1000.0</v>
      </c>
      <c r="G20" s="83">
        <v>339018.0</v>
      </c>
      <c r="H20" s="83">
        <v>157666.0</v>
      </c>
      <c r="I20" s="83" t="s">
        <v>181</v>
      </c>
      <c r="J20" s="83" t="s">
        <v>208</v>
      </c>
      <c r="K20" s="40" t="s">
        <v>91</v>
      </c>
      <c r="L20" s="40">
        <f t="shared" si="6"/>
        <v>0.6666666667</v>
      </c>
      <c r="M20" s="40">
        <f t="shared" si="7"/>
        <v>5.333333333</v>
      </c>
      <c r="N20" s="40">
        <f t="shared" si="8"/>
        <v>4.666666667</v>
      </c>
      <c r="O20" s="35">
        <v>10.0</v>
      </c>
      <c r="P20" s="83">
        <v>2.0</v>
      </c>
      <c r="Q20" s="82">
        <v>3.0</v>
      </c>
      <c r="R20" s="85">
        <v>700.0</v>
      </c>
      <c r="S20" s="44">
        <f t="shared" ref="S20:S22" si="10">Q20*R20</f>
        <v>2100</v>
      </c>
      <c r="T20" s="44">
        <f t="shared" si="5"/>
        <v>21000</v>
      </c>
      <c r="U20" s="46">
        <f>IF(OR($J20="",$J20="-"),"",IF(COUNTIF('Base TG'!$AD$2:$AD$1000,$J20)=0,"",SUMIF('Base TG'!$AD$2:$AD$1000,$J20,'Base TG'!$AB$2:$AB$1000)))</f>
        <v>11200</v>
      </c>
      <c r="V20" s="46">
        <f>IF(OR($J20="",$J20="-"),"",IF(COUNTIF('Base TG'!$AD$2:$AD$1000,$J20)=0,"",SUMIF('Base TG'!$AD$2:$AD$1000,$J20,'Base TG'!$AC$2:$AC$1000)))</f>
        <v>1400</v>
      </c>
      <c r="W20" s="44"/>
      <c r="X20" s="44">
        <v>0.0</v>
      </c>
      <c r="Y20" s="44">
        <f t="shared" si="9"/>
        <v>0</v>
      </c>
      <c r="Z20" s="47" t="str">
        <f>IF(OR($J20="",$J20="-"),"SEM EMPENHO",IF(COUNTIF('Base TG'!$AD$2:$AD$1000,$J20)=0,"NÃO LOCALIZADO",IF(COUNTIF('Base TG'!$AD$2:$AD$1000,$J20)=1,"ATUALIZADO","DUPLICADO - VALORES SOMADOS")))</f>
        <v>ATUALIZADO</v>
      </c>
      <c r="AA20" s="47">
        <f>IF(OR($J20="",$J20="-"),"",COUNTIF('Base TG'!$AD$2:$AD$1000,$J20))</f>
        <v>1</v>
      </c>
    </row>
    <row r="21" ht="24.75" customHeight="1">
      <c r="A21" s="35" t="s">
        <v>85</v>
      </c>
      <c r="B21" s="80" t="s">
        <v>209</v>
      </c>
      <c r="C21" s="81" t="s">
        <v>205</v>
      </c>
      <c r="D21" s="82" t="s">
        <v>88</v>
      </c>
      <c r="E21" s="83">
        <v>230395.0</v>
      </c>
      <c r="F21" s="84">
        <v>1000.0</v>
      </c>
      <c r="G21" s="83">
        <v>339048.0</v>
      </c>
      <c r="H21" s="83">
        <v>157666.0</v>
      </c>
      <c r="I21" s="83" t="s">
        <v>133</v>
      </c>
      <c r="J21" s="35" t="s">
        <v>210</v>
      </c>
      <c r="K21" s="40" t="s">
        <v>91</v>
      </c>
      <c r="L21" s="40">
        <f t="shared" si="6"/>
        <v>0</v>
      </c>
      <c r="M21" s="40">
        <f t="shared" si="7"/>
        <v>6</v>
      </c>
      <c r="N21" s="40">
        <f t="shared" si="8"/>
        <v>6</v>
      </c>
      <c r="O21" s="35">
        <v>11.0</v>
      </c>
      <c r="P21" s="83">
        <v>1.0</v>
      </c>
      <c r="Q21" s="83">
        <v>1.0</v>
      </c>
      <c r="R21" s="85">
        <v>3000.0</v>
      </c>
      <c r="S21" s="44">
        <f t="shared" si="10"/>
        <v>3000</v>
      </c>
      <c r="T21" s="44">
        <f t="shared" si="5"/>
        <v>33000</v>
      </c>
      <c r="U21" s="46">
        <f>IF(OR($J21="",$J21="-"),"",IF(COUNTIF('Base TG'!$AD$2:$AD$1000,$J21)=0,"",SUMIF('Base TG'!$AD$2:$AD$1000,$J21,'Base TG'!$AB$2:$AB$1000)))</f>
        <v>18000</v>
      </c>
      <c r="V21" s="46">
        <f>IF(OR($J21="",$J21="-"),"",IF(COUNTIF('Base TG'!$AD$2:$AD$1000,$J21)=0,"",SUMIF('Base TG'!$AD$2:$AD$1000,$J21,'Base TG'!$AC$2:$AC$1000)))</f>
        <v>0</v>
      </c>
      <c r="W21" s="44"/>
      <c r="X21" s="44">
        <v>1.0</v>
      </c>
      <c r="Y21" s="44"/>
      <c r="Z21" s="47" t="str">
        <f>IF(OR($J21="",$J21="-"),"SEM EMPENHO",IF(COUNTIF('Base TG'!$AD$2:$AD$1000,$J21)=0,"NÃO LOCALIZADO",IF(COUNTIF('Base TG'!$AD$2:$AD$1000,$J21)=1,"ATUALIZADO","DUPLICADO - VALORES SOMADOS")))</f>
        <v>ATUALIZADO</v>
      </c>
      <c r="AA21" s="47">
        <f>IF(OR($J21="",$J21="-"),"",COUNTIF('Base TG'!$AD$2:$AD$1000,$J21))</f>
        <v>1</v>
      </c>
    </row>
    <row r="22" ht="24.0" customHeight="1">
      <c r="A22" s="35" t="s">
        <v>211</v>
      </c>
      <c r="B22" s="49" t="s">
        <v>212</v>
      </c>
      <c r="C22" s="35" t="s">
        <v>148</v>
      </c>
      <c r="D22" s="35" t="s">
        <v>88</v>
      </c>
      <c r="E22" s="87" t="s">
        <v>213</v>
      </c>
      <c r="F22" s="88">
        <v>1000.0</v>
      </c>
      <c r="G22" s="35">
        <v>339018.0</v>
      </c>
      <c r="H22" s="29">
        <v>157773.0</v>
      </c>
      <c r="I22" s="29" t="s">
        <v>133</v>
      </c>
      <c r="J22" s="35" t="s">
        <v>214</v>
      </c>
      <c r="K22" s="40" t="s">
        <v>91</v>
      </c>
      <c r="L22" s="40">
        <f t="shared" si="6"/>
        <v>0</v>
      </c>
      <c r="M22" s="40">
        <v>0.0</v>
      </c>
      <c r="N22" s="40">
        <v>0.0</v>
      </c>
      <c r="O22" s="35">
        <v>10.0</v>
      </c>
      <c r="P22" s="35">
        <v>8.0</v>
      </c>
      <c r="Q22" s="89">
        <v>8.0</v>
      </c>
      <c r="R22" s="44">
        <v>700.0</v>
      </c>
      <c r="S22" s="44">
        <f t="shared" si="10"/>
        <v>5600</v>
      </c>
      <c r="T22" s="44">
        <f t="shared" si="5"/>
        <v>56000</v>
      </c>
      <c r="U22" s="46">
        <f>IF(OR($J22="",$J22="-"),"",IF(COUNTIF('Base TG'!$AD$2:$AD$1000,$J22)=0,"",SUMIF('Base TG'!$AD$2:$AD$1000,$J22,'Base TG'!$AB$2:$AB$1000)))</f>
        <v>16100</v>
      </c>
      <c r="V22" s="46">
        <f>IF(OR($J22="",$J22="-"),"",IF(COUNTIF('Base TG'!$AD$2:$AD$1000,$J22)=0,"",SUMIF('Base TG'!$AD$2:$AD$1000,$J22,'Base TG'!$AC$2:$AC$1000)))</f>
        <v>0</v>
      </c>
      <c r="W22" s="90"/>
      <c r="X22" s="44">
        <v>1.0</v>
      </c>
      <c r="Y22" s="44"/>
      <c r="Z22" s="47" t="str">
        <f>IF(OR($J22="",$J22="-"),"SEM EMPENHO",IF(COUNTIF('Base TG'!$AD$2:$AD$1000,$J22)=0,"NÃO LOCALIZADO",IF(COUNTIF('Base TG'!$AD$2:$AD$1000,$J22)=1,"ATUALIZADO","DUPLICADO - VALORES SOMADOS")))</f>
        <v>ATUALIZADO</v>
      </c>
      <c r="AA22" s="47">
        <f>IF(OR($J22="",$J22="-"),"",COUNTIF('Base TG'!$AD$2:$AD$1000,$J22))</f>
        <v>1</v>
      </c>
    </row>
    <row r="23" ht="24.0" customHeight="1">
      <c r="A23" s="35" t="s">
        <v>203</v>
      </c>
      <c r="B23" s="91" t="s">
        <v>215</v>
      </c>
      <c r="C23" s="81" t="s">
        <v>205</v>
      </c>
      <c r="D23" s="92" t="s">
        <v>88</v>
      </c>
      <c r="E23" s="93">
        <v>230389.0</v>
      </c>
      <c r="F23" s="84">
        <v>1000.0</v>
      </c>
      <c r="G23" s="83">
        <v>339018.0</v>
      </c>
      <c r="H23" s="83">
        <v>157666.0</v>
      </c>
      <c r="I23" s="93" t="s">
        <v>133</v>
      </c>
      <c r="J23" s="93">
        <v>0.0</v>
      </c>
      <c r="K23" s="40" t="s">
        <v>91</v>
      </c>
      <c r="L23" s="40"/>
      <c r="M23" s="40"/>
      <c r="N23" s="40"/>
      <c r="O23" s="94">
        <v>1.0</v>
      </c>
      <c r="P23" s="93">
        <v>0.0</v>
      </c>
      <c r="Q23" s="92">
        <v>0.0</v>
      </c>
      <c r="R23" s="95">
        <v>6136.0</v>
      </c>
      <c r="S23" s="96">
        <v>6136.0</v>
      </c>
      <c r="T23" s="44">
        <f t="shared" si="5"/>
        <v>6136</v>
      </c>
      <c r="U23" s="46" t="str">
        <f>IF(OR($J23="",$J23="-"),"",IF(COUNTIF('Base TG'!$AD$2:$AD$1000,$J23)=0,"",SUMIF('Base TG'!$AD$2:$AD$1000,$J23,'Base TG'!$AB$2:$AB$1000)))</f>
        <v/>
      </c>
      <c r="V23" s="46" t="str">
        <f>IF(OR($J23="",$J23="-"),"",IF(COUNTIF('Base TG'!$AD$2:$AD$1000,$J23)=0,"",SUMIF('Base TG'!$AD$2:$AD$1000,$J23,'Base TG'!$AC$2:$AC$1000)))</f>
        <v/>
      </c>
      <c r="W23" s="44"/>
      <c r="X23" s="44">
        <v>0.0</v>
      </c>
      <c r="Y23" s="44"/>
      <c r="Z23" s="47" t="str">
        <f>IF(OR($J23="",$J23="-"),"SEM EMPENHO",IF(COUNTIF('Base TG'!$AD$2:$AD$1000,$J23)=0,"NÃO LOCALIZADO",IF(COUNTIF('Base TG'!$AD$2:$AD$1000,$J23)=1,"ATUALIZADO","DUPLICADO - VALORES SOMADOS")))</f>
        <v>NÃO LOCALIZADO</v>
      </c>
      <c r="AA23" s="47">
        <f>IF(OR($J23="",$J23="-"),"",COUNTIF('Base TG'!$AD$2:$AD$1000,$J23))</f>
        <v>0</v>
      </c>
    </row>
    <row r="24" ht="19.5" customHeight="1">
      <c r="A24" s="97"/>
      <c r="B24" s="98"/>
      <c r="C24" s="98"/>
      <c r="D24" s="98"/>
      <c r="E24" s="98"/>
      <c r="F24" s="99"/>
      <c r="G24" s="98"/>
      <c r="H24" s="98"/>
      <c r="I24" s="98"/>
      <c r="J24" s="98"/>
      <c r="K24" s="100"/>
      <c r="L24" s="100"/>
      <c r="M24" s="100"/>
      <c r="N24" s="100"/>
      <c r="O24" s="98"/>
      <c r="P24" s="98"/>
      <c r="Q24" s="101"/>
      <c r="R24" s="102"/>
      <c r="S24" s="102"/>
      <c r="T24" s="103"/>
      <c r="U24" s="103"/>
      <c r="V24" s="103"/>
      <c r="W24" s="104"/>
      <c r="X24" s="104"/>
      <c r="Y24" s="104"/>
      <c r="Z24" s="47"/>
      <c r="AA24" s="47"/>
    </row>
    <row r="25" ht="19.5" customHeight="1">
      <c r="A25" s="97"/>
      <c r="B25" s="98"/>
      <c r="C25" s="98"/>
      <c r="D25" s="98"/>
      <c r="E25" s="98"/>
      <c r="F25" s="99"/>
      <c r="G25" s="98"/>
      <c r="H25" s="98"/>
      <c r="I25" s="98"/>
      <c r="J25" s="98"/>
      <c r="K25" s="100"/>
      <c r="L25" s="100"/>
      <c r="M25" s="100"/>
      <c r="N25" s="100"/>
      <c r="O25" s="98"/>
      <c r="P25" s="98"/>
      <c r="Q25" s="105">
        <f t="shared" ref="Q25:V25" si="11">SUBTOTAL(9,Q5:Q23)</f>
        <v>580</v>
      </c>
      <c r="R25" s="103">
        <f t="shared" si="11"/>
        <v>53481</v>
      </c>
      <c r="S25" s="103">
        <f t="shared" si="11"/>
        <v>374286</v>
      </c>
      <c r="T25" s="103">
        <f t="shared" si="11"/>
        <v>3461236</v>
      </c>
      <c r="U25" s="103">
        <f t="shared" si="11"/>
        <v>1956990</v>
      </c>
      <c r="V25" s="103">
        <f t="shared" si="11"/>
        <v>139459.48</v>
      </c>
      <c r="W25" s="104">
        <f>SUM(W6:W22)</f>
        <v>0</v>
      </c>
      <c r="X25" s="104"/>
      <c r="Y25" s="104">
        <f>SUM(Y6:Y22)</f>
        <v>7232</v>
      </c>
      <c r="Z25" s="47" t="s">
        <v>216</v>
      </c>
      <c r="AA25" s="47"/>
    </row>
    <row r="26" ht="15.75" customHeight="1">
      <c r="B26" s="6"/>
      <c r="C26" s="6"/>
      <c r="D26" s="6"/>
      <c r="E26" s="7"/>
      <c r="F26" s="8"/>
      <c r="G26" s="7"/>
      <c r="H26" s="7"/>
      <c r="I26" s="7"/>
      <c r="J26" s="7"/>
      <c r="K26" s="9"/>
      <c r="L26" s="106"/>
      <c r="M26" s="9"/>
      <c r="N26" s="9"/>
      <c r="O26" s="7"/>
      <c r="P26" s="7"/>
      <c r="Q26" s="107"/>
      <c r="R26" s="108"/>
      <c r="S26" s="108"/>
      <c r="T26" s="108"/>
      <c r="U26" s="109"/>
      <c r="V26" s="110"/>
      <c r="W26" s="111"/>
      <c r="X26" s="112"/>
      <c r="Y26" s="112"/>
    </row>
    <row r="27" ht="15.75" customHeight="1">
      <c r="B27" s="6"/>
      <c r="C27" s="6"/>
      <c r="D27" s="6"/>
      <c r="E27" s="7"/>
      <c r="F27" s="8"/>
      <c r="G27" s="7"/>
      <c r="H27" s="7"/>
      <c r="I27" s="7"/>
      <c r="J27" s="7"/>
      <c r="K27" s="9"/>
      <c r="L27" s="106"/>
      <c r="M27" s="9"/>
      <c r="N27" s="9"/>
      <c r="O27" s="7"/>
      <c r="P27" s="7"/>
      <c r="Q27" s="107"/>
      <c r="R27" s="108"/>
      <c r="S27" s="108"/>
      <c r="T27" s="108"/>
      <c r="U27" s="109"/>
      <c r="V27" s="110"/>
      <c r="X27" s="112"/>
      <c r="Y27" s="112"/>
    </row>
    <row r="28" ht="15.75" customHeight="1">
      <c r="B28" s="6"/>
      <c r="C28" s="6"/>
      <c r="D28" s="6"/>
      <c r="E28" s="7"/>
      <c r="F28" s="8"/>
      <c r="G28" s="7"/>
      <c r="H28" s="7"/>
      <c r="I28" s="7"/>
      <c r="J28" s="7"/>
      <c r="K28" s="9"/>
      <c r="L28" s="106"/>
      <c r="M28" s="9"/>
      <c r="N28" s="9"/>
      <c r="O28" s="7"/>
      <c r="P28" s="7"/>
      <c r="Q28" s="113"/>
      <c r="R28" s="108"/>
      <c r="S28" s="108"/>
      <c r="T28" s="114"/>
      <c r="U28" s="109"/>
      <c r="V28" s="115"/>
      <c r="X28" s="111"/>
      <c r="Y28" s="111"/>
    </row>
    <row r="29" ht="15.75" customHeight="1">
      <c r="B29" s="6"/>
      <c r="C29" s="6"/>
      <c r="D29" s="6"/>
      <c r="E29" s="7"/>
      <c r="F29" s="8"/>
      <c r="G29" s="7"/>
      <c r="H29" s="7"/>
      <c r="I29" s="7"/>
      <c r="J29" s="7"/>
      <c r="K29" s="9"/>
      <c r="L29" s="9"/>
      <c r="M29" s="9"/>
      <c r="N29" s="9"/>
      <c r="O29" s="7"/>
      <c r="P29" s="7"/>
      <c r="Q29" s="7"/>
      <c r="R29" s="108"/>
      <c r="S29" s="108"/>
      <c r="T29" s="108"/>
      <c r="U29" s="109"/>
      <c r="V29" s="12"/>
      <c r="X29" s="111"/>
      <c r="Y29" s="111"/>
    </row>
    <row r="30" ht="15.75" customHeight="1">
      <c r="B30" s="6"/>
      <c r="C30" s="6"/>
      <c r="D30" s="6"/>
      <c r="E30" s="7"/>
      <c r="F30" s="8"/>
      <c r="G30" s="7"/>
      <c r="H30" s="7"/>
      <c r="I30" s="7"/>
      <c r="J30" s="7"/>
      <c r="K30" s="9"/>
      <c r="L30" s="9"/>
      <c r="M30" s="9"/>
      <c r="N30" s="9"/>
      <c r="O30" s="7"/>
      <c r="P30" s="7"/>
      <c r="Q30" s="7"/>
      <c r="R30" s="113"/>
      <c r="S30" s="113"/>
      <c r="T30" s="113"/>
      <c r="U30" s="109"/>
      <c r="V30" s="12"/>
      <c r="X30" s="111"/>
      <c r="Y30" s="111"/>
    </row>
    <row r="31" ht="15.75" customHeight="1">
      <c r="B31" s="6"/>
      <c r="C31" s="6"/>
      <c r="D31" s="6"/>
      <c r="E31" s="7"/>
      <c r="F31" s="8"/>
      <c r="G31" s="7"/>
      <c r="H31" s="7"/>
      <c r="I31" s="7"/>
      <c r="J31" s="7"/>
      <c r="K31" s="9"/>
      <c r="L31" s="9"/>
      <c r="M31" s="9"/>
      <c r="N31" s="9"/>
      <c r="O31" s="7"/>
      <c r="P31" s="7"/>
      <c r="Q31" s="7"/>
      <c r="U31" s="12"/>
      <c r="V31" s="12"/>
    </row>
    <row r="32" ht="15.75" customHeight="1">
      <c r="B32" s="6"/>
      <c r="C32" s="6"/>
      <c r="D32" s="6"/>
      <c r="E32" s="7"/>
      <c r="F32" s="8"/>
      <c r="G32" s="7"/>
      <c r="H32" s="7"/>
      <c r="I32" s="7"/>
      <c r="J32" s="7"/>
      <c r="K32" s="9"/>
      <c r="L32" s="9"/>
      <c r="M32" s="9"/>
      <c r="N32" s="9"/>
      <c r="O32" s="7"/>
      <c r="P32" s="7"/>
      <c r="Q32" s="7"/>
      <c r="U32" s="12"/>
      <c r="V32" s="12"/>
    </row>
    <row r="33" ht="15.75" customHeight="1">
      <c r="B33" s="6"/>
      <c r="C33" s="6"/>
      <c r="D33" s="6"/>
      <c r="E33" s="7"/>
      <c r="F33" s="8"/>
      <c r="G33" s="7"/>
      <c r="H33" s="7"/>
      <c r="I33" s="7"/>
      <c r="J33" s="7"/>
      <c r="K33" s="9"/>
      <c r="L33" s="9"/>
      <c r="M33" s="9"/>
      <c r="N33" s="9"/>
      <c r="O33" s="7"/>
      <c r="P33" s="7"/>
      <c r="Q33" s="7"/>
      <c r="U33" s="12"/>
      <c r="V33" s="12"/>
    </row>
    <row r="34" ht="15.75" customHeight="1">
      <c r="B34" s="6"/>
      <c r="C34" s="6"/>
      <c r="D34" s="6"/>
      <c r="E34" s="7"/>
      <c r="F34" s="8"/>
      <c r="G34" s="7"/>
      <c r="H34" s="7"/>
      <c r="I34" s="7"/>
      <c r="J34" s="7"/>
      <c r="K34" s="9"/>
      <c r="L34" s="9"/>
      <c r="M34" s="9"/>
      <c r="N34" s="9"/>
      <c r="O34" s="7"/>
      <c r="P34" s="7"/>
      <c r="Q34" s="7"/>
      <c r="U34" s="12"/>
      <c r="V34" s="12"/>
    </row>
    <row r="35" ht="15.75" customHeight="1">
      <c r="B35" s="6"/>
      <c r="C35" s="6"/>
      <c r="D35" s="6"/>
      <c r="E35" s="7"/>
      <c r="F35" s="8"/>
      <c r="G35" s="7"/>
      <c r="H35" s="7"/>
      <c r="I35" s="7"/>
      <c r="J35" s="7"/>
      <c r="K35" s="9"/>
      <c r="L35" s="9"/>
      <c r="M35" s="9"/>
      <c r="N35" s="9"/>
      <c r="O35" s="7"/>
      <c r="P35" s="7"/>
      <c r="Q35" s="7"/>
      <c r="U35" s="12"/>
      <c r="V35" s="12"/>
    </row>
    <row r="36" ht="15.75" customHeight="1">
      <c r="B36" s="6"/>
      <c r="C36" s="6"/>
      <c r="D36" s="6"/>
      <c r="E36" s="7"/>
      <c r="F36" s="8"/>
      <c r="G36" s="7"/>
      <c r="H36" s="7"/>
      <c r="I36" s="7"/>
      <c r="J36" s="7"/>
      <c r="K36" s="9"/>
      <c r="L36" s="9"/>
      <c r="M36" s="9"/>
      <c r="N36" s="9"/>
      <c r="O36" s="7"/>
      <c r="P36" s="7"/>
      <c r="Q36" s="7"/>
      <c r="U36" s="12"/>
      <c r="V36" s="12"/>
    </row>
    <row r="37" ht="15.75" customHeight="1">
      <c r="B37" s="6"/>
      <c r="C37" s="6"/>
      <c r="D37" s="6"/>
      <c r="E37" s="7"/>
      <c r="F37" s="8"/>
      <c r="G37" s="7"/>
      <c r="H37" s="7"/>
      <c r="I37" s="7"/>
      <c r="J37" s="7"/>
      <c r="K37" s="9"/>
      <c r="L37" s="9"/>
      <c r="M37" s="9"/>
      <c r="N37" s="9"/>
      <c r="O37" s="7"/>
      <c r="P37" s="7"/>
      <c r="Q37" s="7"/>
      <c r="U37" s="12"/>
      <c r="V37" s="12"/>
    </row>
    <row r="38" ht="15.75" customHeight="1">
      <c r="B38" s="6"/>
      <c r="C38" s="6"/>
      <c r="D38" s="6"/>
      <c r="E38" s="7"/>
      <c r="F38" s="8"/>
      <c r="G38" s="7"/>
      <c r="H38" s="7"/>
      <c r="I38" s="7"/>
      <c r="J38" s="7"/>
      <c r="K38" s="9"/>
      <c r="L38" s="9"/>
      <c r="M38" s="9"/>
      <c r="N38" s="9"/>
      <c r="O38" s="7"/>
      <c r="P38" s="7"/>
      <c r="Q38" s="7"/>
      <c r="U38" s="12"/>
      <c r="V38" s="12"/>
    </row>
    <row r="39" ht="15.75" customHeight="1">
      <c r="B39" s="6"/>
      <c r="C39" s="6"/>
      <c r="D39" s="6"/>
      <c r="E39" s="7"/>
      <c r="F39" s="8"/>
      <c r="G39" s="7"/>
      <c r="H39" s="7"/>
      <c r="I39" s="7"/>
      <c r="J39" s="7"/>
      <c r="K39" s="9"/>
      <c r="L39" s="9"/>
      <c r="M39" s="9"/>
      <c r="N39" s="9"/>
      <c r="O39" s="7"/>
      <c r="P39" s="7"/>
      <c r="Q39" s="7"/>
      <c r="U39" s="12"/>
      <c r="V39" s="12"/>
    </row>
    <row r="40" ht="15.75" customHeight="1">
      <c r="B40" s="6"/>
      <c r="C40" s="6"/>
      <c r="D40" s="6"/>
      <c r="E40" s="7"/>
      <c r="F40" s="8"/>
      <c r="G40" s="7"/>
      <c r="H40" s="7"/>
      <c r="I40" s="7"/>
      <c r="J40" s="7"/>
      <c r="K40" s="9"/>
      <c r="L40" s="9"/>
      <c r="M40" s="9"/>
      <c r="N40" s="9"/>
      <c r="O40" s="7"/>
      <c r="P40" s="7"/>
      <c r="Q40" s="7"/>
      <c r="U40" s="12"/>
      <c r="V40" s="12"/>
    </row>
    <row r="41" ht="15.75" customHeight="1">
      <c r="B41" s="6"/>
      <c r="C41" s="6"/>
      <c r="D41" s="6"/>
      <c r="E41" s="7"/>
      <c r="F41" s="8"/>
      <c r="G41" s="7"/>
      <c r="H41" s="7"/>
      <c r="I41" s="7"/>
      <c r="J41" s="7"/>
      <c r="K41" s="9"/>
      <c r="L41" s="9"/>
      <c r="M41" s="9"/>
      <c r="N41" s="9"/>
      <c r="O41" s="7"/>
      <c r="P41" s="7"/>
      <c r="Q41" s="7"/>
      <c r="U41" s="12"/>
      <c r="V41" s="12"/>
    </row>
    <row r="42" ht="15.75" customHeight="1">
      <c r="B42" s="6"/>
      <c r="C42" s="6"/>
      <c r="D42" s="6"/>
      <c r="E42" s="7"/>
      <c r="F42" s="8"/>
      <c r="G42" s="7"/>
      <c r="H42" s="7"/>
      <c r="I42" s="7"/>
      <c r="J42" s="7"/>
      <c r="K42" s="9"/>
      <c r="L42" s="9"/>
      <c r="M42" s="9"/>
      <c r="N42" s="9"/>
      <c r="O42" s="7"/>
      <c r="P42" s="7"/>
      <c r="Q42" s="7"/>
      <c r="U42" s="12"/>
      <c r="V42" s="12"/>
    </row>
    <row r="43" ht="15.75" customHeight="1">
      <c r="B43" s="6"/>
      <c r="C43" s="6"/>
      <c r="D43" s="6"/>
      <c r="E43" s="7"/>
      <c r="F43" s="8"/>
      <c r="G43" s="7"/>
      <c r="H43" s="7"/>
      <c r="I43" s="7"/>
      <c r="J43" s="7"/>
      <c r="K43" s="9"/>
      <c r="L43" s="9"/>
      <c r="M43" s="9"/>
      <c r="N43" s="9"/>
      <c r="O43" s="7"/>
      <c r="P43" s="7"/>
      <c r="Q43" s="7"/>
      <c r="U43" s="12"/>
      <c r="V43" s="12"/>
    </row>
    <row r="44" ht="15.75" customHeight="1">
      <c r="B44" s="6"/>
      <c r="C44" s="6"/>
      <c r="D44" s="6"/>
      <c r="E44" s="7"/>
      <c r="F44" s="8"/>
      <c r="G44" s="7"/>
      <c r="H44" s="7"/>
      <c r="I44" s="7"/>
      <c r="J44" s="7"/>
      <c r="K44" s="9"/>
      <c r="L44" s="9"/>
      <c r="M44" s="9"/>
      <c r="N44" s="9"/>
      <c r="O44" s="7"/>
      <c r="P44" s="7"/>
      <c r="Q44" s="7"/>
      <c r="U44" s="12"/>
      <c r="V44" s="12"/>
    </row>
    <row r="45" ht="15.75" customHeight="1">
      <c r="B45" s="6"/>
      <c r="C45" s="6"/>
      <c r="D45" s="6"/>
      <c r="E45" s="7"/>
      <c r="F45" s="8"/>
      <c r="G45" s="7"/>
      <c r="H45" s="7"/>
      <c r="I45" s="7"/>
      <c r="J45" s="7"/>
      <c r="K45" s="9"/>
      <c r="L45" s="9"/>
      <c r="M45" s="9"/>
      <c r="N45" s="9"/>
      <c r="O45" s="7"/>
      <c r="P45" s="7"/>
      <c r="Q45" s="7"/>
      <c r="U45" s="12"/>
      <c r="V45" s="12"/>
    </row>
    <row r="46" ht="15.75" customHeight="1">
      <c r="B46" s="6"/>
      <c r="C46" s="6"/>
      <c r="D46" s="6"/>
      <c r="E46" s="7"/>
      <c r="F46" s="8"/>
      <c r="G46" s="7"/>
      <c r="H46" s="7"/>
      <c r="I46" s="7"/>
      <c r="J46" s="7"/>
      <c r="K46" s="9"/>
      <c r="L46" s="9"/>
      <c r="M46" s="9"/>
      <c r="N46" s="9"/>
      <c r="O46" s="7"/>
      <c r="P46" s="7"/>
      <c r="Q46" s="7"/>
      <c r="U46" s="12"/>
      <c r="V46" s="12"/>
    </row>
    <row r="47" ht="15.75" customHeight="1">
      <c r="B47" s="6"/>
      <c r="C47" s="6"/>
      <c r="D47" s="6"/>
      <c r="E47" s="7"/>
      <c r="F47" s="8"/>
      <c r="G47" s="7"/>
      <c r="H47" s="7"/>
      <c r="I47" s="7"/>
      <c r="J47" s="7"/>
      <c r="K47" s="9"/>
      <c r="L47" s="9"/>
      <c r="M47" s="9"/>
      <c r="N47" s="9"/>
      <c r="O47" s="7"/>
      <c r="P47" s="7"/>
      <c r="Q47" s="7"/>
      <c r="U47" s="12"/>
      <c r="V47" s="12"/>
    </row>
    <row r="48" ht="15.75" customHeight="1">
      <c r="B48" s="6"/>
      <c r="C48" s="6"/>
      <c r="D48" s="6"/>
      <c r="E48" s="7"/>
      <c r="F48" s="8"/>
      <c r="G48" s="7"/>
      <c r="H48" s="7"/>
      <c r="I48" s="7"/>
      <c r="J48" s="7"/>
      <c r="K48" s="9"/>
      <c r="L48" s="9"/>
      <c r="M48" s="9"/>
      <c r="N48" s="9"/>
      <c r="O48" s="7"/>
      <c r="P48" s="7"/>
      <c r="Q48" s="7"/>
      <c r="U48" s="12"/>
      <c r="V48" s="12"/>
    </row>
    <row r="49" ht="15.75" customHeight="1">
      <c r="B49" s="6"/>
      <c r="C49" s="6"/>
      <c r="D49" s="6"/>
      <c r="E49" s="7"/>
      <c r="F49" s="8"/>
      <c r="G49" s="7"/>
      <c r="H49" s="7"/>
      <c r="I49" s="7"/>
      <c r="J49" s="7"/>
      <c r="K49" s="9"/>
      <c r="L49" s="9"/>
      <c r="M49" s="9"/>
      <c r="N49" s="9"/>
      <c r="O49" s="7"/>
      <c r="P49" s="7"/>
      <c r="Q49" s="7"/>
      <c r="U49" s="12"/>
      <c r="V49" s="12"/>
    </row>
    <row r="50" ht="15.75" customHeight="1">
      <c r="B50" s="6"/>
      <c r="C50" s="6"/>
      <c r="D50" s="6"/>
      <c r="E50" s="7"/>
      <c r="F50" s="8"/>
      <c r="G50" s="7"/>
      <c r="H50" s="7"/>
      <c r="I50" s="7"/>
      <c r="J50" s="7"/>
      <c r="K50" s="9"/>
      <c r="L50" s="9"/>
      <c r="M50" s="9"/>
      <c r="N50" s="9"/>
      <c r="O50" s="7"/>
      <c r="P50" s="7"/>
      <c r="Q50" s="7"/>
      <c r="U50" s="12"/>
      <c r="V50" s="12"/>
    </row>
    <row r="51" ht="15.75" customHeight="1">
      <c r="B51" s="6"/>
      <c r="C51" s="6"/>
      <c r="D51" s="6"/>
      <c r="E51" s="7"/>
      <c r="F51" s="8"/>
      <c r="G51" s="7"/>
      <c r="H51" s="7"/>
      <c r="I51" s="7"/>
      <c r="J51" s="7"/>
      <c r="K51" s="9"/>
      <c r="L51" s="9"/>
      <c r="M51" s="9"/>
      <c r="N51" s="9"/>
      <c r="O51" s="7"/>
      <c r="P51" s="7"/>
      <c r="Q51" s="7"/>
      <c r="U51" s="12"/>
      <c r="V51" s="12"/>
    </row>
    <row r="52" ht="15.75" customHeight="1">
      <c r="B52" s="6"/>
      <c r="C52" s="6"/>
      <c r="D52" s="6"/>
      <c r="E52" s="7"/>
      <c r="F52" s="8"/>
      <c r="G52" s="7"/>
      <c r="H52" s="7"/>
      <c r="I52" s="7"/>
      <c r="J52" s="7"/>
      <c r="K52" s="9"/>
      <c r="L52" s="9"/>
      <c r="M52" s="9"/>
      <c r="N52" s="9"/>
      <c r="O52" s="7"/>
      <c r="P52" s="7"/>
      <c r="Q52" s="7"/>
      <c r="U52" s="12"/>
      <c r="V52" s="12"/>
    </row>
    <row r="53" ht="15.75" customHeight="1">
      <c r="B53" s="6"/>
      <c r="C53" s="6"/>
      <c r="D53" s="6"/>
      <c r="E53" s="7"/>
      <c r="F53" s="8"/>
      <c r="G53" s="7"/>
      <c r="H53" s="7"/>
      <c r="I53" s="7"/>
      <c r="J53" s="7"/>
      <c r="K53" s="9"/>
      <c r="L53" s="9"/>
      <c r="M53" s="9"/>
      <c r="N53" s="9"/>
      <c r="O53" s="7"/>
      <c r="P53" s="7"/>
      <c r="Q53" s="7"/>
      <c r="U53" s="12"/>
      <c r="V53" s="12"/>
    </row>
    <row r="54" ht="15.75" customHeight="1">
      <c r="B54" s="6"/>
      <c r="C54" s="6"/>
      <c r="D54" s="6"/>
      <c r="E54" s="7"/>
      <c r="F54" s="8"/>
      <c r="G54" s="7"/>
      <c r="H54" s="7"/>
      <c r="I54" s="7"/>
      <c r="J54" s="7"/>
      <c r="K54" s="9"/>
      <c r="L54" s="9"/>
      <c r="M54" s="9"/>
      <c r="N54" s="9"/>
      <c r="O54" s="7"/>
      <c r="P54" s="7"/>
      <c r="Q54" s="7"/>
      <c r="U54" s="12"/>
      <c r="V54" s="12"/>
    </row>
    <row r="55" ht="15.75" customHeight="1">
      <c r="B55" s="6"/>
      <c r="C55" s="6"/>
      <c r="D55" s="6"/>
      <c r="E55" s="7"/>
      <c r="F55" s="8"/>
      <c r="G55" s="7"/>
      <c r="H55" s="7"/>
      <c r="I55" s="7"/>
      <c r="J55" s="7"/>
      <c r="K55" s="9"/>
      <c r="L55" s="9"/>
      <c r="M55" s="9"/>
      <c r="N55" s="9"/>
      <c r="O55" s="7"/>
      <c r="P55" s="7"/>
      <c r="Q55" s="7"/>
      <c r="U55" s="12"/>
      <c r="V55" s="12"/>
    </row>
    <row r="56" ht="15.75" customHeight="1">
      <c r="B56" s="6"/>
      <c r="C56" s="6"/>
      <c r="D56" s="6"/>
      <c r="E56" s="7"/>
      <c r="F56" s="8"/>
      <c r="G56" s="7"/>
      <c r="H56" s="7"/>
      <c r="I56" s="7"/>
      <c r="J56" s="7"/>
      <c r="K56" s="9"/>
      <c r="L56" s="9"/>
      <c r="M56" s="9"/>
      <c r="N56" s="9"/>
      <c r="O56" s="7"/>
      <c r="P56" s="7"/>
      <c r="Q56" s="7"/>
      <c r="U56" s="12"/>
      <c r="V56" s="12"/>
    </row>
    <row r="57" ht="15.75" customHeight="1">
      <c r="B57" s="6"/>
      <c r="C57" s="6"/>
      <c r="D57" s="6"/>
      <c r="E57" s="7"/>
      <c r="F57" s="8"/>
      <c r="G57" s="7"/>
      <c r="H57" s="7"/>
      <c r="I57" s="7"/>
      <c r="J57" s="7"/>
      <c r="K57" s="9"/>
      <c r="L57" s="9"/>
      <c r="M57" s="9"/>
      <c r="N57" s="9"/>
      <c r="O57" s="7"/>
      <c r="P57" s="7"/>
      <c r="Q57" s="7"/>
      <c r="U57" s="12"/>
      <c r="V57" s="12"/>
    </row>
    <row r="58" ht="15.75" customHeight="1">
      <c r="B58" s="6"/>
      <c r="C58" s="6"/>
      <c r="D58" s="6"/>
      <c r="E58" s="7"/>
      <c r="F58" s="8"/>
      <c r="G58" s="7"/>
      <c r="H58" s="7"/>
      <c r="I58" s="7"/>
      <c r="J58" s="7"/>
      <c r="K58" s="9"/>
      <c r="L58" s="9"/>
      <c r="M58" s="9"/>
      <c r="N58" s="9"/>
      <c r="O58" s="7"/>
      <c r="P58" s="7"/>
      <c r="Q58" s="7"/>
      <c r="U58" s="12"/>
      <c r="V58" s="12"/>
    </row>
    <row r="59" ht="15.75" customHeight="1">
      <c r="B59" s="6"/>
      <c r="C59" s="6"/>
      <c r="D59" s="6"/>
      <c r="E59" s="7"/>
      <c r="F59" s="8"/>
      <c r="G59" s="7"/>
      <c r="H59" s="7"/>
      <c r="I59" s="7"/>
      <c r="J59" s="7"/>
      <c r="K59" s="9"/>
      <c r="L59" s="9"/>
      <c r="M59" s="9"/>
      <c r="N59" s="9"/>
      <c r="O59" s="7"/>
      <c r="P59" s="7"/>
      <c r="Q59" s="7"/>
      <c r="U59" s="12"/>
      <c r="V59" s="12"/>
    </row>
    <row r="60" ht="15.75" customHeight="1">
      <c r="B60" s="6"/>
      <c r="C60" s="6"/>
      <c r="D60" s="6"/>
      <c r="E60" s="7"/>
      <c r="F60" s="8"/>
      <c r="G60" s="7"/>
      <c r="H60" s="7"/>
      <c r="I60" s="7"/>
      <c r="J60" s="7"/>
      <c r="K60" s="9"/>
      <c r="L60" s="9"/>
      <c r="M60" s="9"/>
      <c r="N60" s="9"/>
      <c r="O60" s="7"/>
      <c r="P60" s="7"/>
      <c r="Q60" s="7"/>
      <c r="U60" s="12"/>
      <c r="V60" s="12"/>
    </row>
    <row r="61" ht="15.75" customHeight="1">
      <c r="B61" s="6"/>
      <c r="C61" s="6"/>
      <c r="D61" s="6"/>
      <c r="E61" s="7"/>
      <c r="F61" s="8"/>
      <c r="G61" s="7"/>
      <c r="H61" s="7"/>
      <c r="I61" s="7"/>
      <c r="J61" s="7"/>
      <c r="K61" s="9"/>
      <c r="L61" s="9"/>
      <c r="M61" s="9"/>
      <c r="N61" s="9"/>
      <c r="O61" s="7"/>
      <c r="P61" s="7"/>
      <c r="Q61" s="7"/>
      <c r="U61" s="12"/>
      <c r="V61" s="12"/>
    </row>
    <row r="62" ht="15.75" customHeight="1">
      <c r="B62" s="6"/>
      <c r="C62" s="6"/>
      <c r="D62" s="6"/>
      <c r="E62" s="7"/>
      <c r="F62" s="8"/>
      <c r="G62" s="7"/>
      <c r="H62" s="7"/>
      <c r="I62" s="7"/>
      <c r="J62" s="7"/>
      <c r="K62" s="9"/>
      <c r="L62" s="9"/>
      <c r="M62" s="9"/>
      <c r="N62" s="9"/>
      <c r="O62" s="7"/>
      <c r="P62" s="7"/>
      <c r="Q62" s="7"/>
      <c r="U62" s="12"/>
      <c r="V62" s="12"/>
    </row>
    <row r="63" ht="15.75" customHeight="1">
      <c r="B63" s="6"/>
      <c r="C63" s="6"/>
      <c r="D63" s="6"/>
      <c r="E63" s="7"/>
      <c r="F63" s="8"/>
      <c r="G63" s="7"/>
      <c r="H63" s="7"/>
      <c r="I63" s="7"/>
      <c r="J63" s="7"/>
      <c r="K63" s="9"/>
      <c r="L63" s="9"/>
      <c r="M63" s="9"/>
      <c r="N63" s="9"/>
      <c r="O63" s="7"/>
      <c r="P63" s="7"/>
      <c r="Q63" s="7"/>
      <c r="U63" s="12"/>
      <c r="V63" s="12"/>
    </row>
    <row r="64" ht="15.75" customHeight="1">
      <c r="B64" s="6"/>
      <c r="C64" s="6"/>
      <c r="D64" s="6"/>
      <c r="E64" s="7"/>
      <c r="F64" s="8"/>
      <c r="G64" s="7"/>
      <c r="H64" s="7"/>
      <c r="I64" s="7"/>
      <c r="J64" s="7"/>
      <c r="K64" s="9"/>
      <c r="L64" s="9"/>
      <c r="M64" s="9"/>
      <c r="N64" s="9"/>
      <c r="O64" s="7"/>
      <c r="P64" s="7"/>
      <c r="Q64" s="7"/>
      <c r="U64" s="12"/>
      <c r="V64" s="12"/>
    </row>
    <row r="65" ht="15.75" customHeight="1">
      <c r="B65" s="6"/>
      <c r="C65" s="6"/>
      <c r="D65" s="6"/>
      <c r="E65" s="7"/>
      <c r="F65" s="8"/>
      <c r="G65" s="7"/>
      <c r="H65" s="7"/>
      <c r="I65" s="7"/>
      <c r="J65" s="7"/>
      <c r="K65" s="9"/>
      <c r="L65" s="9"/>
      <c r="M65" s="9"/>
      <c r="N65" s="9"/>
      <c r="O65" s="7"/>
      <c r="P65" s="7"/>
      <c r="Q65" s="7"/>
      <c r="U65" s="12"/>
      <c r="V65" s="12"/>
    </row>
    <row r="66" ht="15.75" customHeight="1">
      <c r="B66" s="6"/>
      <c r="C66" s="6"/>
      <c r="D66" s="6"/>
      <c r="E66" s="7"/>
      <c r="F66" s="8"/>
      <c r="G66" s="7"/>
      <c r="H66" s="7"/>
      <c r="I66" s="7"/>
      <c r="J66" s="7"/>
      <c r="K66" s="9"/>
      <c r="L66" s="9"/>
      <c r="M66" s="9"/>
      <c r="N66" s="9"/>
      <c r="O66" s="7"/>
      <c r="P66" s="7"/>
      <c r="Q66" s="7"/>
      <c r="U66" s="12"/>
      <c r="V66" s="12"/>
    </row>
    <row r="67" ht="15.75" customHeight="1">
      <c r="B67" s="6"/>
      <c r="C67" s="6"/>
      <c r="D67" s="6"/>
      <c r="E67" s="7"/>
      <c r="F67" s="8"/>
      <c r="G67" s="7"/>
      <c r="H67" s="7"/>
      <c r="I67" s="7"/>
      <c r="J67" s="7"/>
      <c r="K67" s="9"/>
      <c r="L67" s="9"/>
      <c r="M67" s="9"/>
      <c r="N67" s="9"/>
      <c r="O67" s="7"/>
      <c r="P67" s="7"/>
      <c r="Q67" s="7"/>
      <c r="U67" s="12"/>
      <c r="V67" s="12"/>
    </row>
    <row r="68" ht="15.75" customHeight="1">
      <c r="B68" s="6"/>
      <c r="C68" s="6"/>
      <c r="D68" s="6"/>
      <c r="E68" s="7"/>
      <c r="F68" s="8"/>
      <c r="G68" s="7"/>
      <c r="H68" s="7"/>
      <c r="I68" s="7"/>
      <c r="J68" s="7"/>
      <c r="K68" s="9"/>
      <c r="L68" s="9"/>
      <c r="M68" s="9"/>
      <c r="N68" s="9"/>
      <c r="O68" s="7"/>
      <c r="P68" s="7"/>
      <c r="Q68" s="7"/>
      <c r="U68" s="12"/>
      <c r="V68" s="12"/>
    </row>
    <row r="69" ht="15.75" customHeight="1">
      <c r="B69" s="6"/>
      <c r="C69" s="6"/>
      <c r="D69" s="6"/>
      <c r="E69" s="7"/>
      <c r="F69" s="8"/>
      <c r="G69" s="7"/>
      <c r="H69" s="7"/>
      <c r="I69" s="7"/>
      <c r="J69" s="7"/>
      <c r="K69" s="9"/>
      <c r="L69" s="9"/>
      <c r="M69" s="9"/>
      <c r="N69" s="9"/>
      <c r="O69" s="7"/>
      <c r="P69" s="7"/>
      <c r="Q69" s="7"/>
      <c r="U69" s="12"/>
      <c r="V69" s="12"/>
    </row>
    <row r="70" ht="15.75" customHeight="1">
      <c r="B70" s="6"/>
      <c r="C70" s="6"/>
      <c r="D70" s="6"/>
      <c r="E70" s="7"/>
      <c r="F70" s="8"/>
      <c r="G70" s="7"/>
      <c r="H70" s="7"/>
      <c r="I70" s="7"/>
      <c r="J70" s="7"/>
      <c r="K70" s="9"/>
      <c r="L70" s="9"/>
      <c r="M70" s="9"/>
      <c r="N70" s="9"/>
      <c r="O70" s="7"/>
      <c r="P70" s="7"/>
      <c r="Q70" s="7"/>
      <c r="U70" s="12"/>
      <c r="V70" s="12"/>
    </row>
    <row r="71" ht="15.75" customHeight="1">
      <c r="B71" s="6"/>
      <c r="C71" s="6"/>
      <c r="D71" s="6"/>
      <c r="E71" s="7"/>
      <c r="F71" s="8"/>
      <c r="G71" s="7"/>
      <c r="H71" s="7"/>
      <c r="I71" s="7"/>
      <c r="J71" s="7"/>
      <c r="K71" s="9"/>
      <c r="L71" s="9"/>
      <c r="M71" s="9"/>
      <c r="N71" s="9"/>
      <c r="O71" s="7"/>
      <c r="P71" s="7"/>
      <c r="Q71" s="7"/>
      <c r="U71" s="12"/>
      <c r="V71" s="12"/>
    </row>
    <row r="72" ht="15.75" customHeight="1">
      <c r="B72" s="6"/>
      <c r="C72" s="6"/>
      <c r="D72" s="6"/>
      <c r="E72" s="7"/>
      <c r="F72" s="8"/>
      <c r="G72" s="7"/>
      <c r="H72" s="7"/>
      <c r="I72" s="7"/>
      <c r="J72" s="7"/>
      <c r="K72" s="9"/>
      <c r="L72" s="9"/>
      <c r="M72" s="9"/>
      <c r="N72" s="9"/>
      <c r="O72" s="7"/>
      <c r="P72" s="7"/>
      <c r="Q72" s="7"/>
      <c r="U72" s="12"/>
      <c r="V72" s="12"/>
    </row>
    <row r="73" ht="15.75" customHeight="1">
      <c r="B73" s="6"/>
      <c r="C73" s="6"/>
      <c r="D73" s="6"/>
      <c r="E73" s="7"/>
      <c r="F73" s="8"/>
      <c r="G73" s="7"/>
      <c r="H73" s="7"/>
      <c r="I73" s="7"/>
      <c r="J73" s="7"/>
      <c r="K73" s="9"/>
      <c r="L73" s="9"/>
      <c r="M73" s="9"/>
      <c r="N73" s="9"/>
      <c r="O73" s="7"/>
      <c r="P73" s="7"/>
      <c r="Q73" s="7"/>
      <c r="U73" s="12"/>
      <c r="V73" s="12"/>
    </row>
    <row r="74" ht="15.75" customHeight="1">
      <c r="B74" s="6"/>
      <c r="C74" s="6"/>
      <c r="D74" s="6"/>
      <c r="E74" s="7"/>
      <c r="F74" s="8"/>
      <c r="G74" s="7"/>
      <c r="H74" s="7"/>
      <c r="I74" s="7"/>
      <c r="J74" s="7"/>
      <c r="K74" s="9"/>
      <c r="L74" s="9"/>
      <c r="M74" s="9"/>
      <c r="N74" s="9"/>
      <c r="O74" s="7"/>
      <c r="P74" s="7"/>
      <c r="Q74" s="7"/>
      <c r="U74" s="12"/>
      <c r="V74" s="12"/>
    </row>
    <row r="75" ht="15.75" customHeight="1">
      <c r="B75" s="6"/>
      <c r="C75" s="6"/>
      <c r="D75" s="6"/>
      <c r="E75" s="7"/>
      <c r="F75" s="8"/>
      <c r="G75" s="7"/>
      <c r="H75" s="7"/>
      <c r="I75" s="7"/>
      <c r="J75" s="7"/>
      <c r="K75" s="9"/>
      <c r="L75" s="9"/>
      <c r="M75" s="9"/>
      <c r="N75" s="9"/>
      <c r="O75" s="7"/>
      <c r="P75" s="7"/>
      <c r="Q75" s="7"/>
      <c r="U75" s="12"/>
      <c r="V75" s="12"/>
    </row>
    <row r="76" ht="15.75" customHeight="1">
      <c r="B76" s="6"/>
      <c r="C76" s="6"/>
      <c r="D76" s="6"/>
      <c r="E76" s="7"/>
      <c r="F76" s="8"/>
      <c r="G76" s="7"/>
      <c r="H76" s="7"/>
      <c r="I76" s="7"/>
      <c r="J76" s="7"/>
      <c r="K76" s="9"/>
      <c r="L76" s="9"/>
      <c r="M76" s="9"/>
      <c r="N76" s="9"/>
      <c r="O76" s="7"/>
      <c r="P76" s="7"/>
      <c r="Q76" s="7"/>
      <c r="U76" s="12"/>
      <c r="V76" s="12"/>
    </row>
    <row r="77" ht="15.75" customHeight="1">
      <c r="B77" s="6"/>
      <c r="C77" s="6"/>
      <c r="D77" s="6"/>
      <c r="E77" s="7"/>
      <c r="F77" s="8"/>
      <c r="G77" s="7"/>
      <c r="H77" s="7"/>
      <c r="I77" s="7"/>
      <c r="J77" s="7"/>
      <c r="K77" s="9"/>
      <c r="L77" s="9"/>
      <c r="M77" s="9"/>
      <c r="N77" s="9"/>
      <c r="O77" s="7"/>
      <c r="P77" s="7"/>
      <c r="Q77" s="7"/>
      <c r="U77" s="12"/>
      <c r="V77" s="12"/>
    </row>
    <row r="78" ht="15.75" customHeight="1">
      <c r="B78" s="6"/>
      <c r="C78" s="6"/>
      <c r="D78" s="6"/>
      <c r="E78" s="7"/>
      <c r="F78" s="8"/>
      <c r="G78" s="7"/>
      <c r="H78" s="7"/>
      <c r="I78" s="7"/>
      <c r="J78" s="7"/>
      <c r="K78" s="9"/>
      <c r="L78" s="9"/>
      <c r="M78" s="9"/>
      <c r="N78" s="9"/>
      <c r="O78" s="7"/>
      <c r="P78" s="7"/>
      <c r="Q78" s="7"/>
      <c r="U78" s="12"/>
      <c r="V78" s="12"/>
    </row>
    <row r="79" ht="15.75" customHeight="1">
      <c r="B79" s="6"/>
      <c r="C79" s="6"/>
      <c r="D79" s="6"/>
      <c r="E79" s="7"/>
      <c r="F79" s="8"/>
      <c r="G79" s="7"/>
      <c r="H79" s="7"/>
      <c r="I79" s="7"/>
      <c r="J79" s="7"/>
      <c r="K79" s="9"/>
      <c r="L79" s="9"/>
      <c r="M79" s="9"/>
      <c r="N79" s="9"/>
      <c r="O79" s="7"/>
      <c r="P79" s="7"/>
      <c r="Q79" s="7"/>
      <c r="U79" s="12"/>
      <c r="V79" s="12"/>
    </row>
    <row r="80" ht="15.75" customHeight="1">
      <c r="B80" s="6"/>
      <c r="C80" s="6"/>
      <c r="D80" s="6"/>
      <c r="E80" s="7"/>
      <c r="F80" s="8"/>
      <c r="G80" s="7"/>
      <c r="H80" s="7"/>
      <c r="I80" s="7"/>
      <c r="J80" s="7"/>
      <c r="K80" s="9"/>
      <c r="L80" s="9"/>
      <c r="M80" s="9"/>
      <c r="N80" s="9"/>
      <c r="O80" s="7"/>
      <c r="P80" s="7"/>
      <c r="Q80" s="7"/>
      <c r="U80" s="12"/>
      <c r="V80" s="12"/>
    </row>
    <row r="81" ht="15.75" customHeight="1">
      <c r="B81" s="6"/>
      <c r="C81" s="6"/>
      <c r="D81" s="6"/>
      <c r="E81" s="7"/>
      <c r="F81" s="8"/>
      <c r="G81" s="7"/>
      <c r="H81" s="7"/>
      <c r="I81" s="7"/>
      <c r="J81" s="7"/>
      <c r="K81" s="9"/>
      <c r="L81" s="9"/>
      <c r="M81" s="9"/>
      <c r="N81" s="9"/>
      <c r="O81" s="7"/>
      <c r="P81" s="7"/>
      <c r="Q81" s="7"/>
      <c r="U81" s="12"/>
      <c r="V81" s="12"/>
    </row>
    <row r="82" ht="15.75" customHeight="1">
      <c r="B82" s="6"/>
      <c r="C82" s="6"/>
      <c r="D82" s="6"/>
      <c r="E82" s="7"/>
      <c r="F82" s="8"/>
      <c r="G82" s="7"/>
      <c r="H82" s="7"/>
      <c r="I82" s="7"/>
      <c r="J82" s="7"/>
      <c r="K82" s="9"/>
      <c r="L82" s="9"/>
      <c r="M82" s="9"/>
      <c r="N82" s="9"/>
      <c r="O82" s="7"/>
      <c r="P82" s="7"/>
      <c r="Q82" s="7"/>
      <c r="U82" s="12"/>
      <c r="V82" s="12"/>
    </row>
    <row r="83" ht="15.75" customHeight="1">
      <c r="B83" s="6"/>
      <c r="C83" s="6"/>
      <c r="D83" s="6"/>
      <c r="E83" s="7"/>
      <c r="F83" s="8"/>
      <c r="G83" s="7"/>
      <c r="H83" s="7"/>
      <c r="I83" s="7"/>
      <c r="J83" s="7"/>
      <c r="K83" s="9"/>
      <c r="L83" s="9"/>
      <c r="M83" s="9"/>
      <c r="N83" s="9"/>
      <c r="O83" s="7"/>
      <c r="P83" s="7"/>
      <c r="Q83" s="7"/>
      <c r="U83" s="12"/>
      <c r="V83" s="12"/>
    </row>
    <row r="84" ht="15.75" customHeight="1">
      <c r="B84" s="6"/>
      <c r="C84" s="6"/>
      <c r="D84" s="6"/>
      <c r="E84" s="7"/>
      <c r="F84" s="8"/>
      <c r="G84" s="7"/>
      <c r="H84" s="7"/>
      <c r="I84" s="7"/>
      <c r="J84" s="7"/>
      <c r="K84" s="9"/>
      <c r="L84" s="9"/>
      <c r="M84" s="9"/>
      <c r="N84" s="9"/>
      <c r="O84" s="7"/>
      <c r="P84" s="7"/>
      <c r="Q84" s="7"/>
      <c r="U84" s="12"/>
      <c r="V84" s="12"/>
    </row>
    <row r="85" ht="15.75" customHeight="1">
      <c r="B85" s="6"/>
      <c r="C85" s="6"/>
      <c r="D85" s="6"/>
      <c r="E85" s="7"/>
      <c r="F85" s="8"/>
      <c r="G85" s="7"/>
      <c r="H85" s="7"/>
      <c r="I85" s="7"/>
      <c r="J85" s="7"/>
      <c r="K85" s="9"/>
      <c r="L85" s="9"/>
      <c r="M85" s="9"/>
      <c r="N85" s="9"/>
      <c r="O85" s="7"/>
      <c r="P85" s="7"/>
      <c r="Q85" s="7"/>
      <c r="U85" s="12"/>
      <c r="V85" s="12"/>
    </row>
    <row r="86" ht="15.75" customHeight="1">
      <c r="B86" s="6"/>
      <c r="C86" s="6"/>
      <c r="D86" s="6"/>
      <c r="E86" s="7"/>
      <c r="F86" s="8"/>
      <c r="G86" s="7"/>
      <c r="H86" s="7"/>
      <c r="I86" s="7"/>
      <c r="J86" s="7"/>
      <c r="K86" s="9"/>
      <c r="L86" s="9"/>
      <c r="M86" s="9"/>
      <c r="N86" s="9"/>
      <c r="O86" s="7"/>
      <c r="P86" s="7"/>
      <c r="Q86" s="7"/>
      <c r="U86" s="12"/>
      <c r="V86" s="12"/>
    </row>
    <row r="87" ht="15.75" customHeight="1">
      <c r="B87" s="6"/>
      <c r="C87" s="6"/>
      <c r="D87" s="6"/>
      <c r="E87" s="7"/>
      <c r="F87" s="8"/>
      <c r="G87" s="7"/>
      <c r="H87" s="7"/>
      <c r="I87" s="7"/>
      <c r="J87" s="7"/>
      <c r="K87" s="9"/>
      <c r="L87" s="9"/>
      <c r="M87" s="9"/>
      <c r="N87" s="9"/>
      <c r="O87" s="7"/>
      <c r="P87" s="7"/>
      <c r="Q87" s="7"/>
      <c r="U87" s="12"/>
      <c r="V87" s="12"/>
    </row>
    <row r="88" ht="15.75" customHeight="1">
      <c r="B88" s="6"/>
      <c r="C88" s="6"/>
      <c r="D88" s="6"/>
      <c r="E88" s="7"/>
      <c r="F88" s="8"/>
      <c r="G88" s="7"/>
      <c r="H88" s="7"/>
      <c r="I88" s="7"/>
      <c r="J88" s="7"/>
      <c r="K88" s="9"/>
      <c r="L88" s="9"/>
      <c r="M88" s="9"/>
      <c r="N88" s="9"/>
      <c r="O88" s="7"/>
      <c r="P88" s="7"/>
      <c r="Q88" s="7"/>
      <c r="U88" s="12"/>
      <c r="V88" s="12"/>
    </row>
    <row r="89" ht="15.75" customHeight="1">
      <c r="B89" s="6"/>
      <c r="C89" s="6"/>
      <c r="D89" s="6"/>
      <c r="E89" s="7"/>
      <c r="F89" s="8"/>
      <c r="G89" s="7"/>
      <c r="H89" s="7"/>
      <c r="I89" s="7"/>
      <c r="J89" s="7"/>
      <c r="K89" s="9"/>
      <c r="L89" s="9"/>
      <c r="M89" s="9"/>
      <c r="N89" s="9"/>
      <c r="O89" s="7"/>
      <c r="P89" s="7"/>
      <c r="Q89" s="7"/>
      <c r="U89" s="12"/>
      <c r="V89" s="12"/>
    </row>
    <row r="90" ht="15.75" customHeight="1">
      <c r="B90" s="6"/>
      <c r="C90" s="6"/>
      <c r="D90" s="6"/>
      <c r="E90" s="7"/>
      <c r="F90" s="8"/>
      <c r="G90" s="7"/>
      <c r="H90" s="7"/>
      <c r="I90" s="7"/>
      <c r="J90" s="7"/>
      <c r="K90" s="9"/>
      <c r="L90" s="9"/>
      <c r="M90" s="9"/>
      <c r="N90" s="9"/>
      <c r="O90" s="7"/>
      <c r="P90" s="7"/>
      <c r="Q90" s="7"/>
      <c r="U90" s="12"/>
      <c r="V90" s="12"/>
    </row>
    <row r="91" ht="15.75" customHeight="1">
      <c r="B91" s="6"/>
      <c r="C91" s="6"/>
      <c r="D91" s="6"/>
      <c r="E91" s="7"/>
      <c r="F91" s="8"/>
      <c r="G91" s="7"/>
      <c r="H91" s="7"/>
      <c r="I91" s="7"/>
      <c r="J91" s="7"/>
      <c r="K91" s="9"/>
      <c r="L91" s="9"/>
      <c r="M91" s="9"/>
      <c r="N91" s="9"/>
      <c r="O91" s="7"/>
      <c r="P91" s="7"/>
      <c r="Q91" s="7"/>
      <c r="U91" s="12"/>
      <c r="V91" s="12"/>
    </row>
    <row r="92" ht="15.75" customHeight="1">
      <c r="B92" s="6"/>
      <c r="C92" s="6"/>
      <c r="D92" s="6"/>
      <c r="E92" s="7"/>
      <c r="F92" s="8"/>
      <c r="G92" s="7"/>
      <c r="H92" s="7"/>
      <c r="I92" s="7"/>
      <c r="J92" s="7"/>
      <c r="K92" s="9"/>
      <c r="L92" s="9"/>
      <c r="M92" s="9"/>
      <c r="N92" s="9"/>
      <c r="O92" s="7"/>
      <c r="P92" s="7"/>
      <c r="Q92" s="7"/>
      <c r="U92" s="12"/>
      <c r="V92" s="12"/>
    </row>
    <row r="93" ht="15.75" customHeight="1">
      <c r="B93" s="6"/>
      <c r="C93" s="6"/>
      <c r="D93" s="6"/>
      <c r="E93" s="7"/>
      <c r="F93" s="8"/>
      <c r="G93" s="7"/>
      <c r="H93" s="7"/>
      <c r="I93" s="7"/>
      <c r="J93" s="7"/>
      <c r="K93" s="9"/>
      <c r="L93" s="9"/>
      <c r="M93" s="9"/>
      <c r="N93" s="9"/>
      <c r="O93" s="7"/>
      <c r="P93" s="7"/>
      <c r="Q93" s="7"/>
      <c r="U93" s="12"/>
      <c r="V93" s="12"/>
    </row>
    <row r="94" ht="15.75" customHeight="1">
      <c r="B94" s="6"/>
      <c r="C94" s="6"/>
      <c r="D94" s="6"/>
      <c r="E94" s="7"/>
      <c r="F94" s="8"/>
      <c r="G94" s="7"/>
      <c r="H94" s="7"/>
      <c r="I94" s="7"/>
      <c r="J94" s="7"/>
      <c r="K94" s="9"/>
      <c r="L94" s="9"/>
      <c r="M94" s="9"/>
      <c r="N94" s="9"/>
      <c r="O94" s="7"/>
      <c r="P94" s="7"/>
      <c r="Q94" s="7"/>
      <c r="U94" s="12"/>
      <c r="V94" s="12"/>
    </row>
    <row r="95" ht="15.75" customHeight="1">
      <c r="B95" s="6"/>
      <c r="C95" s="6"/>
      <c r="D95" s="6"/>
      <c r="E95" s="7"/>
      <c r="F95" s="8"/>
      <c r="G95" s="7"/>
      <c r="H95" s="7"/>
      <c r="I95" s="7"/>
      <c r="J95" s="7"/>
      <c r="K95" s="9"/>
      <c r="L95" s="9"/>
      <c r="M95" s="9"/>
      <c r="N95" s="9"/>
      <c r="O95" s="7"/>
      <c r="P95" s="7"/>
      <c r="Q95" s="7"/>
      <c r="U95" s="12"/>
      <c r="V95" s="12"/>
    </row>
    <row r="96" ht="15.75" customHeight="1">
      <c r="B96" s="6"/>
      <c r="C96" s="6"/>
      <c r="D96" s="6"/>
      <c r="E96" s="7"/>
      <c r="F96" s="8"/>
      <c r="G96" s="7"/>
      <c r="H96" s="7"/>
      <c r="I96" s="7"/>
      <c r="J96" s="7"/>
      <c r="K96" s="9"/>
      <c r="L96" s="9"/>
      <c r="M96" s="9"/>
      <c r="N96" s="9"/>
      <c r="O96" s="7"/>
      <c r="P96" s="7"/>
      <c r="Q96" s="7"/>
      <c r="U96" s="12"/>
      <c r="V96" s="12"/>
    </row>
    <row r="97" ht="15.75" customHeight="1">
      <c r="B97" s="6"/>
      <c r="C97" s="6"/>
      <c r="D97" s="6"/>
      <c r="E97" s="7"/>
      <c r="F97" s="8"/>
      <c r="G97" s="7"/>
      <c r="H97" s="7"/>
      <c r="I97" s="7"/>
      <c r="J97" s="7"/>
      <c r="K97" s="9"/>
      <c r="L97" s="9"/>
      <c r="M97" s="9"/>
      <c r="N97" s="9"/>
      <c r="O97" s="7"/>
      <c r="P97" s="7"/>
      <c r="Q97" s="7"/>
      <c r="U97" s="12"/>
      <c r="V97" s="12"/>
    </row>
    <row r="98" ht="15.75" customHeight="1">
      <c r="B98" s="6"/>
      <c r="C98" s="6"/>
      <c r="D98" s="6"/>
      <c r="E98" s="7"/>
      <c r="F98" s="8"/>
      <c r="G98" s="7"/>
      <c r="H98" s="7"/>
      <c r="I98" s="7"/>
      <c r="J98" s="7"/>
      <c r="K98" s="9"/>
      <c r="L98" s="9"/>
      <c r="M98" s="9"/>
      <c r="N98" s="9"/>
      <c r="O98" s="7"/>
      <c r="P98" s="7"/>
      <c r="Q98" s="7"/>
      <c r="U98" s="12"/>
      <c r="V98" s="12"/>
    </row>
    <row r="99" ht="15.75" customHeight="1">
      <c r="B99" s="6"/>
      <c r="C99" s="6"/>
      <c r="D99" s="6"/>
      <c r="E99" s="7"/>
      <c r="F99" s="8"/>
      <c r="G99" s="7"/>
      <c r="H99" s="7"/>
      <c r="I99" s="7"/>
      <c r="J99" s="7"/>
      <c r="K99" s="9"/>
      <c r="L99" s="9"/>
      <c r="M99" s="9"/>
      <c r="N99" s="9"/>
      <c r="O99" s="7"/>
      <c r="P99" s="7"/>
      <c r="Q99" s="7"/>
      <c r="U99" s="12"/>
      <c r="V99" s="12"/>
    </row>
    <row r="100" ht="15.75" customHeight="1">
      <c r="B100" s="6"/>
      <c r="C100" s="6"/>
      <c r="D100" s="6"/>
      <c r="E100" s="7"/>
      <c r="F100" s="8"/>
      <c r="G100" s="7"/>
      <c r="H100" s="7"/>
      <c r="I100" s="7"/>
      <c r="J100" s="7"/>
      <c r="K100" s="9"/>
      <c r="L100" s="9"/>
      <c r="M100" s="9"/>
      <c r="N100" s="9"/>
      <c r="O100" s="7"/>
      <c r="P100" s="7"/>
      <c r="Q100" s="7"/>
      <c r="U100" s="12"/>
      <c r="V100" s="12"/>
    </row>
    <row r="101" ht="15.75" customHeight="1">
      <c r="B101" s="6"/>
      <c r="C101" s="6"/>
      <c r="D101" s="6"/>
      <c r="E101" s="7"/>
      <c r="F101" s="8"/>
      <c r="G101" s="7"/>
      <c r="H101" s="7"/>
      <c r="I101" s="7"/>
      <c r="J101" s="7"/>
      <c r="K101" s="9"/>
      <c r="L101" s="9"/>
      <c r="M101" s="9"/>
      <c r="N101" s="9"/>
      <c r="O101" s="7"/>
      <c r="P101" s="7"/>
      <c r="Q101" s="7"/>
      <c r="U101" s="12"/>
      <c r="V101" s="12"/>
    </row>
    <row r="102" ht="15.75" customHeight="1">
      <c r="B102" s="6"/>
      <c r="C102" s="6"/>
      <c r="D102" s="6"/>
      <c r="E102" s="7"/>
      <c r="F102" s="8"/>
      <c r="G102" s="7"/>
      <c r="H102" s="7"/>
      <c r="I102" s="7"/>
      <c r="J102" s="7"/>
      <c r="K102" s="9"/>
      <c r="L102" s="9"/>
      <c r="M102" s="9"/>
      <c r="N102" s="9"/>
      <c r="O102" s="7"/>
      <c r="P102" s="7"/>
      <c r="Q102" s="7"/>
      <c r="U102" s="12"/>
      <c r="V102" s="12"/>
    </row>
    <row r="103" ht="15.75" customHeight="1">
      <c r="B103" s="6"/>
      <c r="C103" s="6"/>
      <c r="D103" s="6"/>
      <c r="E103" s="7"/>
      <c r="F103" s="8"/>
      <c r="G103" s="7"/>
      <c r="H103" s="7"/>
      <c r="I103" s="7"/>
      <c r="J103" s="7"/>
      <c r="K103" s="9"/>
      <c r="L103" s="9"/>
      <c r="M103" s="9"/>
      <c r="N103" s="9"/>
      <c r="O103" s="7"/>
      <c r="P103" s="7"/>
      <c r="Q103" s="7"/>
      <c r="U103" s="12"/>
      <c r="V103" s="12"/>
    </row>
    <row r="104" ht="15.75" customHeight="1">
      <c r="B104" s="6"/>
      <c r="C104" s="6"/>
      <c r="D104" s="6"/>
      <c r="E104" s="7"/>
      <c r="F104" s="8"/>
      <c r="G104" s="7"/>
      <c r="H104" s="7"/>
      <c r="I104" s="7"/>
      <c r="J104" s="7"/>
      <c r="K104" s="9"/>
      <c r="L104" s="9"/>
      <c r="M104" s="9"/>
      <c r="N104" s="9"/>
      <c r="O104" s="7"/>
      <c r="P104" s="7"/>
      <c r="Q104" s="7"/>
      <c r="U104" s="12"/>
      <c r="V104" s="12"/>
    </row>
    <row r="105" ht="15.75" customHeight="1">
      <c r="B105" s="6"/>
      <c r="C105" s="6"/>
      <c r="D105" s="6"/>
      <c r="E105" s="7"/>
      <c r="F105" s="8"/>
      <c r="G105" s="7"/>
      <c r="H105" s="7"/>
      <c r="I105" s="7"/>
      <c r="J105" s="7"/>
      <c r="K105" s="9"/>
      <c r="L105" s="9"/>
      <c r="M105" s="9"/>
      <c r="N105" s="9"/>
      <c r="O105" s="7"/>
      <c r="P105" s="7"/>
      <c r="Q105" s="7"/>
      <c r="U105" s="12"/>
      <c r="V105" s="12"/>
    </row>
    <row r="106" ht="15.75" customHeight="1">
      <c r="B106" s="6"/>
      <c r="C106" s="6"/>
      <c r="D106" s="6"/>
      <c r="E106" s="7"/>
      <c r="F106" s="8"/>
      <c r="G106" s="7"/>
      <c r="H106" s="7"/>
      <c r="I106" s="7"/>
      <c r="J106" s="7"/>
      <c r="K106" s="9"/>
      <c r="L106" s="9"/>
      <c r="M106" s="9"/>
      <c r="N106" s="9"/>
      <c r="O106" s="7"/>
      <c r="P106" s="7"/>
      <c r="Q106" s="7"/>
      <c r="U106" s="12"/>
      <c r="V106" s="12"/>
    </row>
    <row r="107" ht="15.75" customHeight="1">
      <c r="B107" s="6"/>
      <c r="C107" s="6"/>
      <c r="D107" s="6"/>
      <c r="E107" s="7"/>
      <c r="F107" s="8"/>
      <c r="G107" s="7"/>
      <c r="H107" s="7"/>
      <c r="I107" s="7"/>
      <c r="J107" s="7"/>
      <c r="K107" s="9"/>
      <c r="L107" s="9"/>
      <c r="M107" s="9"/>
      <c r="N107" s="9"/>
      <c r="O107" s="7"/>
      <c r="P107" s="7"/>
      <c r="Q107" s="7"/>
      <c r="U107" s="12"/>
      <c r="V107" s="12"/>
    </row>
    <row r="108" ht="15.75" customHeight="1">
      <c r="B108" s="6"/>
      <c r="C108" s="6"/>
      <c r="D108" s="6"/>
      <c r="E108" s="7"/>
      <c r="F108" s="8"/>
      <c r="G108" s="7"/>
      <c r="H108" s="7"/>
      <c r="I108" s="7"/>
      <c r="J108" s="7"/>
      <c r="K108" s="9"/>
      <c r="L108" s="9"/>
      <c r="M108" s="9"/>
      <c r="N108" s="9"/>
      <c r="O108" s="7"/>
      <c r="P108" s="7"/>
      <c r="Q108" s="7"/>
      <c r="U108" s="12"/>
      <c r="V108" s="12"/>
    </row>
    <row r="109" ht="15.75" customHeight="1">
      <c r="B109" s="6"/>
      <c r="C109" s="6"/>
      <c r="D109" s="6"/>
      <c r="E109" s="7"/>
      <c r="F109" s="8"/>
      <c r="G109" s="7"/>
      <c r="H109" s="7"/>
      <c r="I109" s="7"/>
      <c r="J109" s="7"/>
      <c r="K109" s="9"/>
      <c r="L109" s="9"/>
      <c r="M109" s="9"/>
      <c r="N109" s="9"/>
      <c r="O109" s="7"/>
      <c r="P109" s="7"/>
      <c r="Q109" s="7"/>
      <c r="U109" s="12"/>
      <c r="V109" s="12"/>
    </row>
    <row r="110" ht="15.75" customHeight="1">
      <c r="B110" s="6"/>
      <c r="C110" s="6"/>
      <c r="D110" s="6"/>
      <c r="E110" s="7"/>
      <c r="F110" s="8"/>
      <c r="G110" s="7"/>
      <c r="H110" s="7"/>
      <c r="I110" s="7"/>
      <c r="J110" s="7"/>
      <c r="K110" s="9"/>
      <c r="L110" s="9"/>
      <c r="M110" s="9"/>
      <c r="N110" s="9"/>
      <c r="O110" s="7"/>
      <c r="P110" s="7"/>
      <c r="Q110" s="7"/>
      <c r="U110" s="12"/>
      <c r="V110" s="12"/>
    </row>
    <row r="111" ht="15.75" customHeight="1">
      <c r="B111" s="6"/>
      <c r="C111" s="6"/>
      <c r="D111" s="6"/>
      <c r="E111" s="7"/>
      <c r="F111" s="8"/>
      <c r="G111" s="7"/>
      <c r="H111" s="7"/>
      <c r="I111" s="7"/>
      <c r="J111" s="7"/>
      <c r="K111" s="9"/>
      <c r="L111" s="9"/>
      <c r="M111" s="9"/>
      <c r="N111" s="9"/>
      <c r="O111" s="7"/>
      <c r="P111" s="7"/>
      <c r="Q111" s="7"/>
      <c r="U111" s="12"/>
      <c r="V111" s="12"/>
    </row>
    <row r="112" ht="15.75" customHeight="1">
      <c r="B112" s="6"/>
      <c r="C112" s="6"/>
      <c r="D112" s="6"/>
      <c r="E112" s="7"/>
      <c r="F112" s="8"/>
      <c r="G112" s="7"/>
      <c r="H112" s="7"/>
      <c r="I112" s="7"/>
      <c r="J112" s="7"/>
      <c r="K112" s="9"/>
      <c r="L112" s="9"/>
      <c r="M112" s="9"/>
      <c r="N112" s="9"/>
      <c r="O112" s="7"/>
      <c r="P112" s="7"/>
      <c r="Q112" s="7"/>
      <c r="U112" s="12"/>
      <c r="V112" s="12"/>
    </row>
    <row r="113" ht="15.75" customHeight="1">
      <c r="B113" s="6"/>
      <c r="C113" s="6"/>
      <c r="D113" s="6"/>
      <c r="E113" s="7"/>
      <c r="F113" s="8"/>
      <c r="G113" s="7"/>
      <c r="H113" s="7"/>
      <c r="I113" s="7"/>
      <c r="J113" s="7"/>
      <c r="K113" s="9"/>
      <c r="L113" s="9"/>
      <c r="M113" s="9"/>
      <c r="N113" s="9"/>
      <c r="O113" s="7"/>
      <c r="P113" s="7"/>
      <c r="Q113" s="7"/>
      <c r="U113" s="12"/>
      <c r="V113" s="12"/>
    </row>
    <row r="114" ht="15.75" customHeight="1">
      <c r="B114" s="6"/>
      <c r="C114" s="6"/>
      <c r="D114" s="6"/>
      <c r="E114" s="7"/>
      <c r="F114" s="8"/>
      <c r="G114" s="7"/>
      <c r="H114" s="7"/>
      <c r="I114" s="7"/>
      <c r="J114" s="7"/>
      <c r="K114" s="9"/>
      <c r="L114" s="9"/>
      <c r="M114" s="9"/>
      <c r="N114" s="9"/>
      <c r="O114" s="7"/>
      <c r="P114" s="7"/>
      <c r="Q114" s="7"/>
      <c r="U114" s="12"/>
      <c r="V114" s="12"/>
    </row>
    <row r="115" ht="15.75" customHeight="1">
      <c r="B115" s="6"/>
      <c r="C115" s="6"/>
      <c r="D115" s="6"/>
      <c r="E115" s="7"/>
      <c r="F115" s="8"/>
      <c r="G115" s="7"/>
      <c r="H115" s="7"/>
      <c r="I115" s="7"/>
      <c r="J115" s="7"/>
      <c r="K115" s="9"/>
      <c r="L115" s="9"/>
      <c r="M115" s="9"/>
      <c r="N115" s="9"/>
      <c r="O115" s="7"/>
      <c r="P115" s="7"/>
      <c r="Q115" s="7"/>
      <c r="U115" s="12"/>
      <c r="V115" s="12"/>
    </row>
    <row r="116" ht="15.75" customHeight="1">
      <c r="B116" s="6"/>
      <c r="C116" s="6"/>
      <c r="D116" s="6"/>
      <c r="E116" s="7"/>
      <c r="F116" s="8"/>
      <c r="G116" s="7"/>
      <c r="H116" s="7"/>
      <c r="I116" s="7"/>
      <c r="J116" s="7"/>
      <c r="K116" s="9"/>
      <c r="L116" s="9"/>
      <c r="M116" s="9"/>
      <c r="N116" s="9"/>
      <c r="O116" s="7"/>
      <c r="P116" s="7"/>
      <c r="Q116" s="7"/>
      <c r="U116" s="12"/>
      <c r="V116" s="12"/>
    </row>
    <row r="117" ht="15.75" customHeight="1">
      <c r="B117" s="6"/>
      <c r="C117" s="6"/>
      <c r="D117" s="6"/>
      <c r="E117" s="7"/>
      <c r="F117" s="8"/>
      <c r="G117" s="7"/>
      <c r="H117" s="7"/>
      <c r="I117" s="7"/>
      <c r="J117" s="7"/>
      <c r="K117" s="9"/>
      <c r="L117" s="9"/>
      <c r="M117" s="9"/>
      <c r="N117" s="9"/>
      <c r="O117" s="7"/>
      <c r="P117" s="7"/>
      <c r="Q117" s="7"/>
      <c r="U117" s="12"/>
      <c r="V117" s="12"/>
    </row>
    <row r="118" ht="15.75" customHeight="1">
      <c r="B118" s="6"/>
      <c r="C118" s="6"/>
      <c r="D118" s="6"/>
      <c r="E118" s="7"/>
      <c r="F118" s="8"/>
      <c r="G118" s="7"/>
      <c r="H118" s="7"/>
      <c r="I118" s="7"/>
      <c r="J118" s="7"/>
      <c r="K118" s="9"/>
      <c r="L118" s="9"/>
      <c r="M118" s="9"/>
      <c r="N118" s="9"/>
      <c r="O118" s="7"/>
      <c r="P118" s="7"/>
      <c r="Q118" s="7"/>
      <c r="U118" s="12"/>
      <c r="V118" s="12"/>
    </row>
    <row r="119" ht="15.75" customHeight="1">
      <c r="B119" s="6"/>
      <c r="C119" s="6"/>
      <c r="D119" s="6"/>
      <c r="E119" s="7"/>
      <c r="F119" s="8"/>
      <c r="G119" s="7"/>
      <c r="H119" s="7"/>
      <c r="I119" s="7"/>
      <c r="J119" s="7"/>
      <c r="K119" s="9"/>
      <c r="L119" s="9"/>
      <c r="M119" s="9"/>
      <c r="N119" s="9"/>
      <c r="O119" s="7"/>
      <c r="P119" s="7"/>
      <c r="Q119" s="7"/>
      <c r="U119" s="12"/>
      <c r="V119" s="12"/>
    </row>
    <row r="120" ht="15.75" customHeight="1">
      <c r="B120" s="6"/>
      <c r="C120" s="6"/>
      <c r="D120" s="6"/>
      <c r="E120" s="7"/>
      <c r="F120" s="8"/>
      <c r="G120" s="7"/>
      <c r="H120" s="7"/>
      <c r="I120" s="7"/>
      <c r="J120" s="7"/>
      <c r="K120" s="9"/>
      <c r="L120" s="9"/>
      <c r="M120" s="9"/>
      <c r="N120" s="9"/>
      <c r="O120" s="7"/>
      <c r="P120" s="7"/>
      <c r="Q120" s="7"/>
      <c r="U120" s="12"/>
      <c r="V120" s="12"/>
    </row>
    <row r="121" ht="15.75" customHeight="1">
      <c r="B121" s="6"/>
      <c r="C121" s="6"/>
      <c r="D121" s="6"/>
      <c r="E121" s="7"/>
      <c r="F121" s="8"/>
      <c r="G121" s="7"/>
      <c r="H121" s="7"/>
      <c r="I121" s="7"/>
      <c r="J121" s="7"/>
      <c r="K121" s="9"/>
      <c r="L121" s="9"/>
      <c r="M121" s="9"/>
      <c r="N121" s="9"/>
      <c r="O121" s="7"/>
      <c r="P121" s="7"/>
      <c r="Q121" s="7"/>
      <c r="U121" s="12"/>
      <c r="V121" s="12"/>
    </row>
    <row r="122" ht="15.75" customHeight="1">
      <c r="B122" s="6"/>
      <c r="C122" s="6"/>
      <c r="D122" s="6"/>
      <c r="E122" s="7"/>
      <c r="F122" s="8"/>
      <c r="G122" s="7"/>
      <c r="H122" s="7"/>
      <c r="I122" s="7"/>
      <c r="J122" s="7"/>
      <c r="K122" s="9"/>
      <c r="L122" s="9"/>
      <c r="M122" s="9"/>
      <c r="N122" s="9"/>
      <c r="O122" s="7"/>
      <c r="P122" s="7"/>
      <c r="Q122" s="7"/>
      <c r="U122" s="12"/>
      <c r="V122" s="12"/>
    </row>
    <row r="123" ht="15.75" customHeight="1">
      <c r="B123" s="6"/>
      <c r="C123" s="6"/>
      <c r="D123" s="6"/>
      <c r="E123" s="7"/>
      <c r="F123" s="8"/>
      <c r="G123" s="7"/>
      <c r="H123" s="7"/>
      <c r="I123" s="7"/>
      <c r="J123" s="7"/>
      <c r="K123" s="9"/>
      <c r="L123" s="9"/>
      <c r="M123" s="9"/>
      <c r="N123" s="9"/>
      <c r="O123" s="7"/>
      <c r="P123" s="7"/>
      <c r="Q123" s="7"/>
      <c r="U123" s="12"/>
      <c r="V123" s="12"/>
    </row>
    <row r="124" ht="15.75" customHeight="1">
      <c r="B124" s="6"/>
      <c r="C124" s="6"/>
      <c r="D124" s="6"/>
      <c r="E124" s="7"/>
      <c r="F124" s="8"/>
      <c r="G124" s="7"/>
      <c r="H124" s="7"/>
      <c r="I124" s="7"/>
      <c r="J124" s="7"/>
      <c r="K124" s="9"/>
      <c r="L124" s="9"/>
      <c r="M124" s="9"/>
      <c r="N124" s="9"/>
      <c r="O124" s="7"/>
      <c r="P124" s="7"/>
      <c r="Q124" s="7"/>
      <c r="U124" s="12"/>
      <c r="V124" s="12"/>
    </row>
    <row r="125" ht="15.75" customHeight="1">
      <c r="B125" s="6"/>
      <c r="C125" s="6"/>
      <c r="D125" s="6"/>
      <c r="E125" s="7"/>
      <c r="F125" s="8"/>
      <c r="G125" s="7"/>
      <c r="H125" s="7"/>
      <c r="I125" s="7"/>
      <c r="J125" s="7"/>
      <c r="K125" s="9"/>
      <c r="L125" s="9"/>
      <c r="M125" s="9"/>
      <c r="N125" s="9"/>
      <c r="O125" s="7"/>
      <c r="P125" s="7"/>
      <c r="Q125" s="7"/>
      <c r="U125" s="12"/>
      <c r="V125" s="12"/>
    </row>
    <row r="126" ht="15.75" customHeight="1">
      <c r="B126" s="6"/>
      <c r="C126" s="6"/>
      <c r="D126" s="6"/>
      <c r="E126" s="7"/>
      <c r="F126" s="8"/>
      <c r="G126" s="7"/>
      <c r="H126" s="7"/>
      <c r="I126" s="7"/>
      <c r="J126" s="7"/>
      <c r="K126" s="9"/>
      <c r="L126" s="9"/>
      <c r="M126" s="9"/>
      <c r="N126" s="9"/>
      <c r="O126" s="7"/>
      <c r="P126" s="7"/>
      <c r="Q126" s="7"/>
      <c r="U126" s="12"/>
      <c r="V126" s="12"/>
    </row>
    <row r="127" ht="15.75" customHeight="1">
      <c r="B127" s="6"/>
      <c r="C127" s="6"/>
      <c r="D127" s="6"/>
      <c r="E127" s="7"/>
      <c r="F127" s="8"/>
      <c r="G127" s="7"/>
      <c r="H127" s="7"/>
      <c r="I127" s="7"/>
      <c r="J127" s="7"/>
      <c r="K127" s="9"/>
      <c r="L127" s="9"/>
      <c r="M127" s="9"/>
      <c r="N127" s="9"/>
      <c r="O127" s="7"/>
      <c r="P127" s="7"/>
      <c r="Q127" s="7"/>
      <c r="U127" s="12"/>
      <c r="V127" s="12"/>
    </row>
    <row r="128" ht="15.75" customHeight="1">
      <c r="B128" s="6"/>
      <c r="C128" s="6"/>
      <c r="D128" s="6"/>
      <c r="E128" s="7"/>
      <c r="F128" s="8"/>
      <c r="G128" s="7"/>
      <c r="H128" s="7"/>
      <c r="I128" s="7"/>
      <c r="J128" s="7"/>
      <c r="K128" s="9"/>
      <c r="L128" s="9"/>
      <c r="M128" s="9"/>
      <c r="N128" s="9"/>
      <c r="O128" s="7"/>
      <c r="P128" s="7"/>
      <c r="Q128" s="7"/>
      <c r="U128" s="12"/>
      <c r="V128" s="12"/>
    </row>
    <row r="129" ht="15.75" customHeight="1">
      <c r="B129" s="6"/>
      <c r="C129" s="6"/>
      <c r="D129" s="6"/>
      <c r="E129" s="7"/>
      <c r="F129" s="8"/>
      <c r="G129" s="7"/>
      <c r="H129" s="7"/>
      <c r="I129" s="7"/>
      <c r="J129" s="7"/>
      <c r="K129" s="9"/>
      <c r="L129" s="9"/>
      <c r="M129" s="9"/>
      <c r="N129" s="9"/>
      <c r="O129" s="7"/>
      <c r="P129" s="7"/>
      <c r="Q129" s="7"/>
      <c r="U129" s="12"/>
      <c r="V129" s="12"/>
    </row>
    <row r="130" ht="15.75" customHeight="1">
      <c r="B130" s="6"/>
      <c r="C130" s="6"/>
      <c r="D130" s="6"/>
      <c r="E130" s="7"/>
      <c r="F130" s="8"/>
      <c r="G130" s="7"/>
      <c r="H130" s="7"/>
      <c r="I130" s="7"/>
      <c r="J130" s="7"/>
      <c r="K130" s="9"/>
      <c r="L130" s="9"/>
      <c r="M130" s="9"/>
      <c r="N130" s="9"/>
      <c r="O130" s="7"/>
      <c r="P130" s="7"/>
      <c r="Q130" s="7"/>
      <c r="U130" s="12"/>
      <c r="V130" s="12"/>
    </row>
    <row r="131" ht="15.75" customHeight="1">
      <c r="B131" s="6"/>
      <c r="C131" s="6"/>
      <c r="D131" s="6"/>
      <c r="E131" s="7"/>
      <c r="F131" s="8"/>
      <c r="G131" s="7"/>
      <c r="H131" s="7"/>
      <c r="I131" s="7"/>
      <c r="J131" s="7"/>
      <c r="K131" s="9"/>
      <c r="L131" s="9"/>
      <c r="M131" s="9"/>
      <c r="N131" s="9"/>
      <c r="O131" s="7"/>
      <c r="P131" s="7"/>
      <c r="Q131" s="7"/>
      <c r="U131" s="12"/>
      <c r="V131" s="12"/>
    </row>
    <row r="132" ht="15.75" customHeight="1">
      <c r="B132" s="6"/>
      <c r="C132" s="6"/>
      <c r="D132" s="6"/>
      <c r="E132" s="7"/>
      <c r="F132" s="8"/>
      <c r="G132" s="7"/>
      <c r="H132" s="7"/>
      <c r="I132" s="7"/>
      <c r="J132" s="7"/>
      <c r="K132" s="9"/>
      <c r="L132" s="9"/>
      <c r="M132" s="9"/>
      <c r="N132" s="9"/>
      <c r="O132" s="7"/>
      <c r="P132" s="7"/>
      <c r="Q132" s="7"/>
      <c r="U132" s="12"/>
      <c r="V132" s="12"/>
    </row>
    <row r="133" ht="15.75" customHeight="1">
      <c r="B133" s="6"/>
      <c r="C133" s="6"/>
      <c r="D133" s="6"/>
      <c r="E133" s="7"/>
      <c r="F133" s="8"/>
      <c r="G133" s="7"/>
      <c r="H133" s="7"/>
      <c r="I133" s="7"/>
      <c r="J133" s="7"/>
      <c r="K133" s="9"/>
      <c r="L133" s="9"/>
      <c r="M133" s="9"/>
      <c r="N133" s="9"/>
      <c r="O133" s="7"/>
      <c r="P133" s="7"/>
      <c r="Q133" s="7"/>
      <c r="U133" s="12"/>
      <c r="V133" s="12"/>
    </row>
    <row r="134" ht="15.75" customHeight="1">
      <c r="B134" s="6"/>
      <c r="C134" s="6"/>
      <c r="D134" s="6"/>
      <c r="E134" s="7"/>
      <c r="F134" s="8"/>
      <c r="G134" s="7"/>
      <c r="H134" s="7"/>
      <c r="I134" s="7"/>
      <c r="J134" s="7"/>
      <c r="K134" s="9"/>
      <c r="L134" s="9"/>
      <c r="M134" s="9"/>
      <c r="N134" s="9"/>
      <c r="O134" s="7"/>
      <c r="P134" s="7"/>
      <c r="Q134" s="7"/>
      <c r="U134" s="12"/>
      <c r="V134" s="12"/>
    </row>
    <row r="135" ht="15.75" customHeight="1">
      <c r="B135" s="6"/>
      <c r="C135" s="6"/>
      <c r="D135" s="6"/>
      <c r="E135" s="7"/>
      <c r="F135" s="8"/>
      <c r="G135" s="7"/>
      <c r="H135" s="7"/>
      <c r="I135" s="7"/>
      <c r="J135" s="7"/>
      <c r="K135" s="9"/>
      <c r="L135" s="9"/>
      <c r="M135" s="9"/>
      <c r="N135" s="9"/>
      <c r="O135" s="7"/>
      <c r="P135" s="7"/>
      <c r="Q135" s="7"/>
      <c r="U135" s="12"/>
      <c r="V135" s="12"/>
    </row>
    <row r="136" ht="15.75" customHeight="1">
      <c r="B136" s="6"/>
      <c r="C136" s="6"/>
      <c r="D136" s="6"/>
      <c r="E136" s="7"/>
      <c r="F136" s="8"/>
      <c r="G136" s="7"/>
      <c r="H136" s="7"/>
      <c r="I136" s="7"/>
      <c r="J136" s="7"/>
      <c r="K136" s="9"/>
      <c r="L136" s="9"/>
      <c r="M136" s="9"/>
      <c r="N136" s="9"/>
      <c r="O136" s="7"/>
      <c r="P136" s="7"/>
      <c r="Q136" s="7"/>
      <c r="U136" s="12"/>
      <c r="V136" s="12"/>
    </row>
    <row r="137" ht="15.75" customHeight="1">
      <c r="B137" s="6"/>
      <c r="C137" s="6"/>
      <c r="D137" s="6"/>
      <c r="E137" s="7"/>
      <c r="F137" s="8"/>
      <c r="G137" s="7"/>
      <c r="H137" s="7"/>
      <c r="I137" s="7"/>
      <c r="J137" s="7"/>
      <c r="K137" s="9"/>
      <c r="L137" s="9"/>
      <c r="M137" s="9"/>
      <c r="N137" s="9"/>
      <c r="O137" s="7"/>
      <c r="P137" s="7"/>
      <c r="Q137" s="7"/>
      <c r="U137" s="12"/>
      <c r="V137" s="12"/>
    </row>
    <row r="138" ht="15.75" customHeight="1">
      <c r="B138" s="6"/>
      <c r="C138" s="6"/>
      <c r="D138" s="6"/>
      <c r="E138" s="7"/>
      <c r="F138" s="8"/>
      <c r="G138" s="7"/>
      <c r="H138" s="7"/>
      <c r="I138" s="7"/>
      <c r="J138" s="7"/>
      <c r="K138" s="9"/>
      <c r="L138" s="9"/>
      <c r="M138" s="9"/>
      <c r="N138" s="9"/>
      <c r="O138" s="7"/>
      <c r="P138" s="7"/>
      <c r="Q138" s="7"/>
      <c r="U138" s="12"/>
      <c r="V138" s="12"/>
    </row>
    <row r="139" ht="15.75" customHeight="1">
      <c r="B139" s="6"/>
      <c r="C139" s="6"/>
      <c r="D139" s="6"/>
      <c r="E139" s="7"/>
      <c r="F139" s="8"/>
      <c r="G139" s="7"/>
      <c r="H139" s="7"/>
      <c r="I139" s="7"/>
      <c r="J139" s="7"/>
      <c r="K139" s="9"/>
      <c r="L139" s="9"/>
      <c r="M139" s="9"/>
      <c r="N139" s="9"/>
      <c r="O139" s="7"/>
      <c r="P139" s="7"/>
      <c r="Q139" s="7"/>
      <c r="U139" s="12"/>
      <c r="V139" s="12"/>
    </row>
    <row r="140" ht="15.75" customHeight="1">
      <c r="B140" s="6"/>
      <c r="C140" s="6"/>
      <c r="D140" s="6"/>
      <c r="E140" s="7"/>
      <c r="F140" s="8"/>
      <c r="G140" s="7"/>
      <c r="H140" s="7"/>
      <c r="I140" s="7"/>
      <c r="J140" s="7"/>
      <c r="K140" s="9"/>
      <c r="L140" s="9"/>
      <c r="M140" s="9"/>
      <c r="N140" s="9"/>
      <c r="O140" s="7"/>
      <c r="P140" s="7"/>
      <c r="Q140" s="7"/>
      <c r="U140" s="12"/>
      <c r="V140" s="12"/>
    </row>
    <row r="141" ht="15.75" customHeight="1">
      <c r="B141" s="6"/>
      <c r="C141" s="6"/>
      <c r="D141" s="6"/>
      <c r="E141" s="7"/>
      <c r="F141" s="8"/>
      <c r="G141" s="7"/>
      <c r="H141" s="7"/>
      <c r="I141" s="7"/>
      <c r="J141" s="7"/>
      <c r="K141" s="9"/>
      <c r="L141" s="9"/>
      <c r="M141" s="9"/>
      <c r="N141" s="9"/>
      <c r="O141" s="7"/>
      <c r="P141" s="7"/>
      <c r="Q141" s="7"/>
      <c r="U141" s="12"/>
      <c r="V141" s="12"/>
    </row>
    <row r="142" ht="15.75" customHeight="1">
      <c r="B142" s="6"/>
      <c r="C142" s="6"/>
      <c r="D142" s="6"/>
      <c r="E142" s="7"/>
      <c r="F142" s="8"/>
      <c r="G142" s="7"/>
      <c r="H142" s="7"/>
      <c r="I142" s="7"/>
      <c r="J142" s="7"/>
      <c r="K142" s="9"/>
      <c r="L142" s="9"/>
      <c r="M142" s="9"/>
      <c r="N142" s="9"/>
      <c r="O142" s="7"/>
      <c r="P142" s="7"/>
      <c r="Q142" s="7"/>
      <c r="U142" s="12"/>
      <c r="V142" s="12"/>
    </row>
    <row r="143" ht="15.75" customHeight="1">
      <c r="B143" s="6"/>
      <c r="C143" s="6"/>
      <c r="D143" s="6"/>
      <c r="E143" s="7"/>
      <c r="F143" s="8"/>
      <c r="G143" s="7"/>
      <c r="H143" s="7"/>
      <c r="I143" s="7"/>
      <c r="J143" s="7"/>
      <c r="K143" s="9"/>
      <c r="L143" s="9"/>
      <c r="M143" s="9"/>
      <c r="N143" s="9"/>
      <c r="O143" s="7"/>
      <c r="P143" s="7"/>
      <c r="Q143" s="7"/>
      <c r="U143" s="12"/>
      <c r="V143" s="12"/>
    </row>
    <row r="144" ht="15.75" customHeight="1">
      <c r="B144" s="6"/>
      <c r="C144" s="6"/>
      <c r="D144" s="6"/>
      <c r="E144" s="7"/>
      <c r="F144" s="8"/>
      <c r="G144" s="7"/>
      <c r="H144" s="7"/>
      <c r="I144" s="7"/>
      <c r="J144" s="7"/>
      <c r="K144" s="9"/>
      <c r="L144" s="9"/>
      <c r="M144" s="9"/>
      <c r="N144" s="9"/>
      <c r="O144" s="7"/>
      <c r="P144" s="7"/>
      <c r="Q144" s="7"/>
      <c r="U144" s="12"/>
      <c r="V144" s="12"/>
    </row>
    <row r="145" ht="15.75" customHeight="1">
      <c r="B145" s="6"/>
      <c r="C145" s="6"/>
      <c r="D145" s="6"/>
      <c r="E145" s="7"/>
      <c r="F145" s="8"/>
      <c r="G145" s="7"/>
      <c r="H145" s="7"/>
      <c r="I145" s="7"/>
      <c r="J145" s="7"/>
      <c r="K145" s="9"/>
      <c r="L145" s="9"/>
      <c r="M145" s="9"/>
      <c r="N145" s="9"/>
      <c r="O145" s="7"/>
      <c r="P145" s="7"/>
      <c r="Q145" s="7"/>
      <c r="U145" s="12"/>
      <c r="V145" s="12"/>
    </row>
    <row r="146" ht="15.75" customHeight="1">
      <c r="B146" s="6"/>
      <c r="C146" s="6"/>
      <c r="D146" s="6"/>
      <c r="E146" s="7"/>
      <c r="F146" s="8"/>
      <c r="G146" s="7"/>
      <c r="H146" s="7"/>
      <c r="I146" s="7"/>
      <c r="J146" s="7"/>
      <c r="K146" s="9"/>
      <c r="L146" s="9"/>
      <c r="M146" s="9"/>
      <c r="N146" s="9"/>
      <c r="O146" s="7"/>
      <c r="P146" s="7"/>
      <c r="Q146" s="7"/>
      <c r="U146" s="12"/>
      <c r="V146" s="12"/>
    </row>
    <row r="147" ht="15.75" customHeight="1">
      <c r="B147" s="6"/>
      <c r="C147" s="6"/>
      <c r="D147" s="6"/>
      <c r="E147" s="7"/>
      <c r="F147" s="8"/>
      <c r="G147" s="7"/>
      <c r="H147" s="7"/>
      <c r="I147" s="7"/>
      <c r="J147" s="7"/>
      <c r="K147" s="9"/>
      <c r="L147" s="9"/>
      <c r="M147" s="9"/>
      <c r="N147" s="9"/>
      <c r="O147" s="7"/>
      <c r="P147" s="7"/>
      <c r="Q147" s="7"/>
      <c r="U147" s="12"/>
      <c r="V147" s="12"/>
    </row>
    <row r="148" ht="15.75" customHeight="1">
      <c r="B148" s="6"/>
      <c r="C148" s="6"/>
      <c r="D148" s="6"/>
      <c r="E148" s="7"/>
      <c r="F148" s="8"/>
      <c r="G148" s="7"/>
      <c r="H148" s="7"/>
      <c r="I148" s="7"/>
      <c r="J148" s="7"/>
      <c r="K148" s="9"/>
      <c r="L148" s="9"/>
      <c r="M148" s="9"/>
      <c r="N148" s="9"/>
      <c r="O148" s="7"/>
      <c r="P148" s="7"/>
      <c r="Q148" s="7"/>
      <c r="U148" s="12"/>
      <c r="V148" s="12"/>
    </row>
    <row r="149" ht="15.75" customHeight="1">
      <c r="B149" s="6"/>
      <c r="C149" s="6"/>
      <c r="D149" s="6"/>
      <c r="E149" s="7"/>
      <c r="F149" s="8"/>
      <c r="G149" s="7"/>
      <c r="H149" s="7"/>
      <c r="I149" s="7"/>
      <c r="J149" s="7"/>
      <c r="K149" s="9"/>
      <c r="L149" s="9"/>
      <c r="M149" s="9"/>
      <c r="N149" s="9"/>
      <c r="O149" s="7"/>
      <c r="P149" s="7"/>
      <c r="Q149" s="7"/>
      <c r="U149" s="12"/>
      <c r="V149" s="12"/>
    </row>
    <row r="150" ht="15.75" customHeight="1">
      <c r="B150" s="6"/>
      <c r="C150" s="6"/>
      <c r="D150" s="6"/>
      <c r="E150" s="7"/>
      <c r="F150" s="8"/>
      <c r="G150" s="7"/>
      <c r="H150" s="7"/>
      <c r="I150" s="7"/>
      <c r="J150" s="7"/>
      <c r="K150" s="9"/>
      <c r="L150" s="9"/>
      <c r="M150" s="9"/>
      <c r="N150" s="9"/>
      <c r="O150" s="7"/>
      <c r="P150" s="7"/>
      <c r="Q150" s="7"/>
      <c r="U150" s="12"/>
      <c r="V150" s="12"/>
    </row>
    <row r="151" ht="15.75" customHeight="1">
      <c r="B151" s="6"/>
      <c r="C151" s="6"/>
      <c r="D151" s="6"/>
      <c r="E151" s="7"/>
      <c r="F151" s="8"/>
      <c r="G151" s="7"/>
      <c r="H151" s="7"/>
      <c r="I151" s="7"/>
      <c r="J151" s="7"/>
      <c r="K151" s="9"/>
      <c r="L151" s="9"/>
      <c r="M151" s="9"/>
      <c r="N151" s="9"/>
      <c r="O151" s="7"/>
      <c r="P151" s="7"/>
      <c r="Q151" s="7"/>
      <c r="U151" s="12"/>
      <c r="V151" s="12"/>
    </row>
    <row r="152" ht="15.75" customHeight="1">
      <c r="B152" s="6"/>
      <c r="C152" s="6"/>
      <c r="D152" s="6"/>
      <c r="E152" s="7"/>
      <c r="F152" s="8"/>
      <c r="G152" s="7"/>
      <c r="H152" s="7"/>
      <c r="I152" s="7"/>
      <c r="J152" s="7"/>
      <c r="K152" s="9"/>
      <c r="L152" s="9"/>
      <c r="M152" s="9"/>
      <c r="N152" s="9"/>
      <c r="O152" s="7"/>
      <c r="P152" s="7"/>
      <c r="Q152" s="7"/>
      <c r="U152" s="12"/>
      <c r="V152" s="12"/>
    </row>
    <row r="153" ht="15.75" customHeight="1">
      <c r="B153" s="6"/>
      <c r="C153" s="6"/>
      <c r="D153" s="6"/>
      <c r="E153" s="7"/>
      <c r="F153" s="8"/>
      <c r="G153" s="7"/>
      <c r="H153" s="7"/>
      <c r="I153" s="7"/>
      <c r="J153" s="7"/>
      <c r="K153" s="9"/>
      <c r="L153" s="9"/>
      <c r="M153" s="9"/>
      <c r="N153" s="9"/>
      <c r="O153" s="7"/>
      <c r="P153" s="7"/>
      <c r="Q153" s="7"/>
      <c r="U153" s="12"/>
      <c r="V153" s="12"/>
    </row>
    <row r="154" ht="15.75" customHeight="1">
      <c r="B154" s="6"/>
      <c r="C154" s="6"/>
      <c r="D154" s="6"/>
      <c r="E154" s="7"/>
      <c r="F154" s="8"/>
      <c r="G154" s="7"/>
      <c r="H154" s="7"/>
      <c r="I154" s="7"/>
      <c r="J154" s="7"/>
      <c r="K154" s="9"/>
      <c r="L154" s="9"/>
      <c r="M154" s="9"/>
      <c r="N154" s="9"/>
      <c r="O154" s="7"/>
      <c r="P154" s="7"/>
      <c r="Q154" s="7"/>
      <c r="U154" s="12"/>
      <c r="V154" s="12"/>
    </row>
    <row r="155" ht="15.75" customHeight="1">
      <c r="B155" s="6"/>
      <c r="C155" s="6"/>
      <c r="D155" s="6"/>
      <c r="E155" s="7"/>
      <c r="F155" s="8"/>
      <c r="G155" s="7"/>
      <c r="H155" s="7"/>
      <c r="I155" s="7"/>
      <c r="J155" s="7"/>
      <c r="K155" s="9"/>
      <c r="L155" s="9"/>
      <c r="M155" s="9"/>
      <c r="N155" s="9"/>
      <c r="O155" s="7"/>
      <c r="P155" s="7"/>
      <c r="Q155" s="7"/>
      <c r="U155" s="12"/>
      <c r="V155" s="12"/>
    </row>
    <row r="156" ht="15.75" customHeight="1">
      <c r="B156" s="6"/>
      <c r="C156" s="6"/>
      <c r="D156" s="6"/>
      <c r="E156" s="7"/>
      <c r="F156" s="8"/>
      <c r="G156" s="7"/>
      <c r="H156" s="7"/>
      <c r="I156" s="7"/>
      <c r="J156" s="7"/>
      <c r="K156" s="9"/>
      <c r="L156" s="9"/>
      <c r="M156" s="9"/>
      <c r="N156" s="9"/>
      <c r="O156" s="7"/>
      <c r="P156" s="7"/>
      <c r="Q156" s="7"/>
      <c r="U156" s="12"/>
      <c r="V156" s="12"/>
    </row>
    <row r="157" ht="15.75" customHeight="1">
      <c r="B157" s="6"/>
      <c r="C157" s="6"/>
      <c r="D157" s="6"/>
      <c r="E157" s="7"/>
      <c r="F157" s="8"/>
      <c r="G157" s="7"/>
      <c r="H157" s="7"/>
      <c r="I157" s="7"/>
      <c r="J157" s="7"/>
      <c r="K157" s="9"/>
      <c r="L157" s="9"/>
      <c r="M157" s="9"/>
      <c r="N157" s="9"/>
      <c r="O157" s="7"/>
      <c r="P157" s="7"/>
      <c r="Q157" s="7"/>
      <c r="U157" s="12"/>
      <c r="V157" s="12"/>
    </row>
    <row r="158" ht="15.75" customHeight="1">
      <c r="B158" s="6"/>
      <c r="C158" s="6"/>
      <c r="D158" s="6"/>
      <c r="E158" s="7"/>
      <c r="F158" s="8"/>
      <c r="G158" s="7"/>
      <c r="H158" s="7"/>
      <c r="I158" s="7"/>
      <c r="J158" s="7"/>
      <c r="K158" s="9"/>
      <c r="L158" s="9"/>
      <c r="M158" s="9"/>
      <c r="N158" s="9"/>
      <c r="O158" s="7"/>
      <c r="P158" s="7"/>
      <c r="Q158" s="7"/>
      <c r="U158" s="12"/>
      <c r="V158" s="12"/>
    </row>
    <row r="159" ht="15.75" customHeight="1">
      <c r="B159" s="6"/>
      <c r="C159" s="6"/>
      <c r="D159" s="6"/>
      <c r="E159" s="7"/>
      <c r="F159" s="8"/>
      <c r="G159" s="7"/>
      <c r="H159" s="7"/>
      <c r="I159" s="7"/>
      <c r="J159" s="7"/>
      <c r="K159" s="9"/>
      <c r="L159" s="9"/>
      <c r="M159" s="9"/>
      <c r="N159" s="9"/>
      <c r="O159" s="7"/>
      <c r="P159" s="7"/>
      <c r="Q159" s="7"/>
      <c r="U159" s="12"/>
      <c r="V159" s="12"/>
    </row>
    <row r="160" ht="15.75" customHeight="1">
      <c r="B160" s="6"/>
      <c r="C160" s="6"/>
      <c r="D160" s="6"/>
      <c r="E160" s="7"/>
      <c r="F160" s="8"/>
      <c r="G160" s="7"/>
      <c r="H160" s="7"/>
      <c r="I160" s="7"/>
      <c r="J160" s="7"/>
      <c r="K160" s="9"/>
      <c r="L160" s="9"/>
      <c r="M160" s="9"/>
      <c r="N160" s="9"/>
      <c r="O160" s="7"/>
      <c r="P160" s="7"/>
      <c r="Q160" s="7"/>
      <c r="U160" s="12"/>
      <c r="V160" s="12"/>
    </row>
    <row r="161" ht="15.75" customHeight="1">
      <c r="B161" s="6"/>
      <c r="C161" s="6"/>
      <c r="D161" s="6"/>
      <c r="E161" s="7"/>
      <c r="F161" s="8"/>
      <c r="G161" s="7"/>
      <c r="H161" s="7"/>
      <c r="I161" s="7"/>
      <c r="J161" s="7"/>
      <c r="K161" s="9"/>
      <c r="L161" s="9"/>
      <c r="M161" s="9"/>
      <c r="N161" s="9"/>
      <c r="O161" s="7"/>
      <c r="P161" s="7"/>
      <c r="Q161" s="7"/>
      <c r="U161" s="12"/>
      <c r="V161" s="12"/>
    </row>
    <row r="162" ht="15.75" customHeight="1">
      <c r="B162" s="6"/>
      <c r="C162" s="6"/>
      <c r="D162" s="6"/>
      <c r="E162" s="7"/>
      <c r="F162" s="8"/>
      <c r="G162" s="7"/>
      <c r="H162" s="7"/>
      <c r="I162" s="7"/>
      <c r="J162" s="7"/>
      <c r="K162" s="9"/>
      <c r="L162" s="9"/>
      <c r="M162" s="9"/>
      <c r="N162" s="9"/>
      <c r="O162" s="7"/>
      <c r="P162" s="7"/>
      <c r="Q162" s="7"/>
      <c r="U162" s="12"/>
      <c r="V162" s="12"/>
    </row>
    <row r="163" ht="15.75" customHeight="1">
      <c r="B163" s="6"/>
      <c r="C163" s="6"/>
      <c r="D163" s="6"/>
      <c r="E163" s="7"/>
      <c r="F163" s="8"/>
      <c r="G163" s="7"/>
      <c r="H163" s="7"/>
      <c r="I163" s="7"/>
      <c r="J163" s="7"/>
      <c r="K163" s="9"/>
      <c r="L163" s="9"/>
      <c r="M163" s="9"/>
      <c r="N163" s="9"/>
      <c r="O163" s="7"/>
      <c r="P163" s="7"/>
      <c r="Q163" s="7"/>
      <c r="U163" s="12"/>
      <c r="V163" s="12"/>
    </row>
    <row r="164" ht="15.75" customHeight="1">
      <c r="B164" s="6"/>
      <c r="C164" s="6"/>
      <c r="D164" s="6"/>
      <c r="E164" s="7"/>
      <c r="F164" s="8"/>
      <c r="G164" s="7"/>
      <c r="H164" s="7"/>
      <c r="I164" s="7"/>
      <c r="J164" s="7"/>
      <c r="K164" s="9"/>
      <c r="L164" s="9"/>
      <c r="M164" s="9"/>
      <c r="N164" s="9"/>
      <c r="O164" s="7"/>
      <c r="P164" s="7"/>
      <c r="Q164" s="7"/>
      <c r="U164" s="12"/>
      <c r="V164" s="12"/>
    </row>
    <row r="165" ht="15.75" customHeight="1">
      <c r="B165" s="6"/>
      <c r="C165" s="6"/>
      <c r="D165" s="6"/>
      <c r="E165" s="7"/>
      <c r="F165" s="8"/>
      <c r="G165" s="7"/>
      <c r="H165" s="7"/>
      <c r="I165" s="7"/>
      <c r="J165" s="7"/>
      <c r="K165" s="9"/>
      <c r="L165" s="9"/>
      <c r="M165" s="9"/>
      <c r="N165" s="9"/>
      <c r="O165" s="7"/>
      <c r="P165" s="7"/>
      <c r="Q165" s="7"/>
      <c r="U165" s="12"/>
      <c r="V165" s="12"/>
    </row>
    <row r="166" ht="15.75" customHeight="1">
      <c r="B166" s="6"/>
      <c r="C166" s="6"/>
      <c r="D166" s="6"/>
      <c r="E166" s="7"/>
      <c r="F166" s="8"/>
      <c r="G166" s="7"/>
      <c r="H166" s="7"/>
      <c r="I166" s="7"/>
      <c r="J166" s="7"/>
      <c r="K166" s="9"/>
      <c r="L166" s="9"/>
      <c r="M166" s="9"/>
      <c r="N166" s="9"/>
      <c r="O166" s="7"/>
      <c r="P166" s="7"/>
      <c r="Q166" s="7"/>
      <c r="U166" s="12"/>
      <c r="V166" s="12"/>
    </row>
    <row r="167" ht="15.75" customHeight="1">
      <c r="B167" s="6"/>
      <c r="C167" s="6"/>
      <c r="D167" s="6"/>
      <c r="E167" s="7"/>
      <c r="F167" s="8"/>
      <c r="G167" s="7"/>
      <c r="H167" s="7"/>
      <c r="I167" s="7"/>
      <c r="J167" s="7"/>
      <c r="K167" s="9"/>
      <c r="L167" s="9"/>
      <c r="M167" s="9"/>
      <c r="N167" s="9"/>
      <c r="O167" s="7"/>
      <c r="P167" s="7"/>
      <c r="Q167" s="7"/>
      <c r="U167" s="12"/>
      <c r="V167" s="12"/>
    </row>
    <row r="168" ht="15.75" customHeight="1">
      <c r="B168" s="6"/>
      <c r="C168" s="6"/>
      <c r="D168" s="6"/>
      <c r="E168" s="7"/>
      <c r="F168" s="8"/>
      <c r="G168" s="7"/>
      <c r="H168" s="7"/>
      <c r="I168" s="7"/>
      <c r="J168" s="7"/>
      <c r="K168" s="9"/>
      <c r="L168" s="9"/>
      <c r="M168" s="9"/>
      <c r="N168" s="9"/>
      <c r="O168" s="7"/>
      <c r="P168" s="7"/>
      <c r="Q168" s="7"/>
      <c r="U168" s="12"/>
      <c r="V168" s="12"/>
    </row>
    <row r="169" ht="15.75" customHeight="1">
      <c r="B169" s="6"/>
      <c r="C169" s="6"/>
      <c r="D169" s="6"/>
      <c r="E169" s="7"/>
      <c r="F169" s="8"/>
      <c r="G169" s="7"/>
      <c r="H169" s="7"/>
      <c r="I169" s="7"/>
      <c r="J169" s="7"/>
      <c r="K169" s="9"/>
      <c r="L169" s="9"/>
      <c r="M169" s="9"/>
      <c r="N169" s="9"/>
      <c r="O169" s="7"/>
      <c r="P169" s="7"/>
      <c r="Q169" s="7"/>
      <c r="U169" s="12"/>
      <c r="V169" s="12"/>
    </row>
    <row r="170" ht="15.75" customHeight="1">
      <c r="B170" s="6"/>
      <c r="C170" s="6"/>
      <c r="D170" s="6"/>
      <c r="E170" s="7"/>
      <c r="F170" s="8"/>
      <c r="G170" s="7"/>
      <c r="H170" s="7"/>
      <c r="I170" s="7"/>
      <c r="J170" s="7"/>
      <c r="K170" s="9"/>
      <c r="L170" s="9"/>
      <c r="M170" s="9"/>
      <c r="N170" s="9"/>
      <c r="O170" s="7"/>
      <c r="P170" s="7"/>
      <c r="Q170" s="7"/>
      <c r="U170" s="12"/>
      <c r="V170" s="12"/>
    </row>
    <row r="171" ht="15.75" customHeight="1">
      <c r="B171" s="6"/>
      <c r="C171" s="6"/>
      <c r="D171" s="6"/>
      <c r="E171" s="7"/>
      <c r="F171" s="8"/>
      <c r="G171" s="7"/>
      <c r="H171" s="7"/>
      <c r="I171" s="7"/>
      <c r="J171" s="7"/>
      <c r="K171" s="9"/>
      <c r="L171" s="9"/>
      <c r="M171" s="9"/>
      <c r="N171" s="9"/>
      <c r="O171" s="7"/>
      <c r="P171" s="7"/>
      <c r="Q171" s="7"/>
      <c r="U171" s="12"/>
      <c r="V171" s="12"/>
    </row>
    <row r="172" ht="15.75" customHeight="1">
      <c r="B172" s="6"/>
      <c r="C172" s="6"/>
      <c r="D172" s="6"/>
      <c r="E172" s="7"/>
      <c r="F172" s="8"/>
      <c r="G172" s="7"/>
      <c r="H172" s="7"/>
      <c r="I172" s="7"/>
      <c r="J172" s="7"/>
      <c r="K172" s="9"/>
      <c r="L172" s="9"/>
      <c r="M172" s="9"/>
      <c r="N172" s="9"/>
      <c r="O172" s="7"/>
      <c r="P172" s="7"/>
      <c r="Q172" s="7"/>
      <c r="U172" s="12"/>
      <c r="V172" s="12"/>
    </row>
    <row r="173" ht="15.75" customHeight="1">
      <c r="B173" s="6"/>
      <c r="C173" s="6"/>
      <c r="D173" s="6"/>
      <c r="E173" s="7"/>
      <c r="F173" s="8"/>
      <c r="G173" s="7"/>
      <c r="H173" s="7"/>
      <c r="I173" s="7"/>
      <c r="J173" s="7"/>
      <c r="K173" s="9"/>
      <c r="L173" s="9"/>
      <c r="M173" s="9"/>
      <c r="N173" s="9"/>
      <c r="O173" s="7"/>
      <c r="P173" s="7"/>
      <c r="Q173" s="7"/>
      <c r="U173" s="12"/>
      <c r="V173" s="12"/>
    </row>
    <row r="174" ht="15.75" customHeight="1">
      <c r="B174" s="6"/>
      <c r="C174" s="6"/>
      <c r="D174" s="6"/>
      <c r="E174" s="7"/>
      <c r="F174" s="8"/>
      <c r="G174" s="7"/>
      <c r="H174" s="7"/>
      <c r="I174" s="7"/>
      <c r="J174" s="7"/>
      <c r="K174" s="9"/>
      <c r="L174" s="9"/>
      <c r="M174" s="9"/>
      <c r="N174" s="9"/>
      <c r="O174" s="7"/>
      <c r="P174" s="7"/>
      <c r="Q174" s="7"/>
      <c r="U174" s="12"/>
      <c r="V174" s="12"/>
    </row>
    <row r="175" ht="15.75" customHeight="1">
      <c r="B175" s="6"/>
      <c r="C175" s="6"/>
      <c r="D175" s="6"/>
      <c r="E175" s="7"/>
      <c r="F175" s="8"/>
      <c r="G175" s="7"/>
      <c r="H175" s="7"/>
      <c r="I175" s="7"/>
      <c r="J175" s="7"/>
      <c r="K175" s="9"/>
      <c r="L175" s="9"/>
      <c r="M175" s="9"/>
      <c r="N175" s="9"/>
      <c r="O175" s="7"/>
      <c r="P175" s="7"/>
      <c r="Q175" s="7"/>
      <c r="U175" s="12"/>
      <c r="V175" s="12"/>
    </row>
    <row r="176" ht="15.75" customHeight="1">
      <c r="B176" s="6"/>
      <c r="C176" s="6"/>
      <c r="D176" s="6"/>
      <c r="E176" s="7"/>
      <c r="F176" s="8"/>
      <c r="G176" s="7"/>
      <c r="H176" s="7"/>
      <c r="I176" s="7"/>
      <c r="J176" s="7"/>
      <c r="K176" s="9"/>
      <c r="L176" s="9"/>
      <c r="M176" s="9"/>
      <c r="N176" s="9"/>
      <c r="O176" s="7"/>
      <c r="P176" s="7"/>
      <c r="Q176" s="7"/>
      <c r="U176" s="12"/>
      <c r="V176" s="12"/>
    </row>
    <row r="177" ht="15.75" customHeight="1">
      <c r="B177" s="6"/>
      <c r="C177" s="6"/>
      <c r="D177" s="6"/>
      <c r="E177" s="7"/>
      <c r="F177" s="8"/>
      <c r="G177" s="7"/>
      <c r="H177" s="7"/>
      <c r="I177" s="7"/>
      <c r="J177" s="7"/>
      <c r="K177" s="9"/>
      <c r="L177" s="9"/>
      <c r="M177" s="9"/>
      <c r="N177" s="9"/>
      <c r="O177" s="7"/>
      <c r="P177" s="7"/>
      <c r="Q177" s="7"/>
      <c r="U177" s="12"/>
      <c r="V177" s="12"/>
    </row>
    <row r="178" ht="15.75" customHeight="1">
      <c r="B178" s="6"/>
      <c r="C178" s="6"/>
      <c r="D178" s="6"/>
      <c r="E178" s="7"/>
      <c r="F178" s="8"/>
      <c r="G178" s="7"/>
      <c r="H178" s="7"/>
      <c r="I178" s="7"/>
      <c r="J178" s="7"/>
      <c r="K178" s="9"/>
      <c r="L178" s="9"/>
      <c r="M178" s="9"/>
      <c r="N178" s="9"/>
      <c r="O178" s="7"/>
      <c r="P178" s="7"/>
      <c r="Q178" s="7"/>
      <c r="U178" s="12"/>
      <c r="V178" s="12"/>
    </row>
    <row r="179" ht="15.75" customHeight="1">
      <c r="B179" s="6"/>
      <c r="C179" s="6"/>
      <c r="D179" s="6"/>
      <c r="E179" s="7"/>
      <c r="F179" s="8"/>
      <c r="G179" s="7"/>
      <c r="H179" s="7"/>
      <c r="I179" s="7"/>
      <c r="J179" s="7"/>
      <c r="K179" s="9"/>
      <c r="L179" s="9"/>
      <c r="M179" s="9"/>
      <c r="N179" s="9"/>
      <c r="O179" s="7"/>
      <c r="P179" s="7"/>
      <c r="Q179" s="7"/>
      <c r="U179" s="12"/>
      <c r="V179" s="12"/>
    </row>
    <row r="180" ht="15.75" customHeight="1">
      <c r="B180" s="6"/>
      <c r="C180" s="6"/>
      <c r="D180" s="6"/>
      <c r="E180" s="7"/>
      <c r="F180" s="8"/>
      <c r="G180" s="7"/>
      <c r="H180" s="7"/>
      <c r="I180" s="7"/>
      <c r="J180" s="7"/>
      <c r="K180" s="9"/>
      <c r="L180" s="9"/>
      <c r="M180" s="9"/>
      <c r="N180" s="9"/>
      <c r="O180" s="7"/>
      <c r="P180" s="7"/>
      <c r="Q180" s="7"/>
      <c r="U180" s="12"/>
      <c r="V180" s="12"/>
    </row>
    <row r="181" ht="15.75" customHeight="1">
      <c r="B181" s="6"/>
      <c r="C181" s="6"/>
      <c r="D181" s="6"/>
      <c r="E181" s="7"/>
      <c r="F181" s="8"/>
      <c r="G181" s="7"/>
      <c r="H181" s="7"/>
      <c r="I181" s="7"/>
      <c r="J181" s="7"/>
      <c r="K181" s="9"/>
      <c r="L181" s="9"/>
      <c r="M181" s="9"/>
      <c r="N181" s="9"/>
      <c r="O181" s="7"/>
      <c r="P181" s="7"/>
      <c r="Q181" s="7"/>
      <c r="U181" s="12"/>
      <c r="V181" s="12"/>
    </row>
    <row r="182" ht="15.75" customHeight="1">
      <c r="B182" s="6"/>
      <c r="C182" s="6"/>
      <c r="D182" s="6"/>
      <c r="E182" s="7"/>
      <c r="F182" s="8"/>
      <c r="G182" s="7"/>
      <c r="H182" s="7"/>
      <c r="I182" s="7"/>
      <c r="J182" s="7"/>
      <c r="K182" s="9"/>
      <c r="L182" s="9"/>
      <c r="M182" s="9"/>
      <c r="N182" s="9"/>
      <c r="O182" s="7"/>
      <c r="P182" s="7"/>
      <c r="Q182" s="7"/>
      <c r="U182" s="12"/>
      <c r="V182" s="12"/>
    </row>
    <row r="183" ht="15.75" customHeight="1">
      <c r="B183" s="6"/>
      <c r="C183" s="6"/>
      <c r="D183" s="6"/>
      <c r="E183" s="7"/>
      <c r="F183" s="8"/>
      <c r="G183" s="7"/>
      <c r="H183" s="7"/>
      <c r="I183" s="7"/>
      <c r="J183" s="7"/>
      <c r="K183" s="9"/>
      <c r="L183" s="9"/>
      <c r="M183" s="9"/>
      <c r="N183" s="9"/>
      <c r="O183" s="7"/>
      <c r="P183" s="7"/>
      <c r="Q183" s="7"/>
      <c r="U183" s="12"/>
      <c r="V183" s="12"/>
    </row>
    <row r="184" ht="15.75" customHeight="1">
      <c r="B184" s="6"/>
      <c r="C184" s="6"/>
      <c r="D184" s="6"/>
      <c r="E184" s="7"/>
      <c r="F184" s="8"/>
      <c r="G184" s="7"/>
      <c r="H184" s="7"/>
      <c r="I184" s="7"/>
      <c r="J184" s="7"/>
      <c r="K184" s="9"/>
      <c r="L184" s="9"/>
      <c r="M184" s="9"/>
      <c r="N184" s="9"/>
      <c r="O184" s="7"/>
      <c r="P184" s="7"/>
      <c r="Q184" s="7"/>
      <c r="U184" s="12"/>
      <c r="V184" s="12"/>
    </row>
    <row r="185" ht="15.75" customHeight="1">
      <c r="B185" s="6"/>
      <c r="C185" s="6"/>
      <c r="D185" s="6"/>
      <c r="E185" s="7"/>
      <c r="F185" s="8"/>
      <c r="G185" s="7"/>
      <c r="H185" s="7"/>
      <c r="I185" s="7"/>
      <c r="J185" s="7"/>
      <c r="K185" s="9"/>
      <c r="L185" s="9"/>
      <c r="M185" s="9"/>
      <c r="N185" s="9"/>
      <c r="O185" s="7"/>
      <c r="P185" s="7"/>
      <c r="Q185" s="7"/>
      <c r="U185" s="12"/>
      <c r="V185" s="12"/>
    </row>
    <row r="186" ht="15.75" customHeight="1">
      <c r="B186" s="6"/>
      <c r="C186" s="6"/>
      <c r="D186" s="6"/>
      <c r="E186" s="7"/>
      <c r="F186" s="8"/>
      <c r="G186" s="7"/>
      <c r="H186" s="7"/>
      <c r="I186" s="7"/>
      <c r="J186" s="7"/>
      <c r="K186" s="9"/>
      <c r="L186" s="9"/>
      <c r="M186" s="9"/>
      <c r="N186" s="9"/>
      <c r="O186" s="7"/>
      <c r="P186" s="7"/>
      <c r="Q186" s="7"/>
      <c r="U186" s="12"/>
      <c r="V186" s="12"/>
    </row>
    <row r="187" ht="15.75" customHeight="1">
      <c r="B187" s="6"/>
      <c r="C187" s="6"/>
      <c r="D187" s="6"/>
      <c r="E187" s="7"/>
      <c r="F187" s="8"/>
      <c r="G187" s="7"/>
      <c r="H187" s="7"/>
      <c r="I187" s="7"/>
      <c r="J187" s="7"/>
      <c r="K187" s="9"/>
      <c r="L187" s="9"/>
      <c r="M187" s="9"/>
      <c r="N187" s="9"/>
      <c r="O187" s="7"/>
      <c r="P187" s="7"/>
      <c r="Q187" s="7"/>
      <c r="U187" s="12"/>
      <c r="V187" s="12"/>
    </row>
    <row r="188" ht="15.75" customHeight="1">
      <c r="B188" s="6"/>
      <c r="C188" s="6"/>
      <c r="D188" s="6"/>
      <c r="E188" s="7"/>
      <c r="F188" s="8"/>
      <c r="G188" s="7"/>
      <c r="H188" s="7"/>
      <c r="I188" s="7"/>
      <c r="J188" s="7"/>
      <c r="K188" s="9"/>
      <c r="L188" s="9"/>
      <c r="M188" s="9"/>
      <c r="N188" s="9"/>
      <c r="O188" s="7"/>
      <c r="P188" s="7"/>
      <c r="Q188" s="7"/>
      <c r="U188" s="12"/>
      <c r="V188" s="12"/>
    </row>
    <row r="189" ht="15.75" customHeight="1">
      <c r="B189" s="6"/>
      <c r="C189" s="6"/>
      <c r="D189" s="6"/>
      <c r="E189" s="7"/>
      <c r="F189" s="8"/>
      <c r="G189" s="7"/>
      <c r="H189" s="7"/>
      <c r="I189" s="7"/>
      <c r="J189" s="7"/>
      <c r="K189" s="9"/>
      <c r="L189" s="9"/>
      <c r="M189" s="9"/>
      <c r="N189" s="9"/>
      <c r="O189" s="7"/>
      <c r="P189" s="7"/>
      <c r="Q189" s="7"/>
      <c r="U189" s="12"/>
      <c r="V189" s="12"/>
    </row>
    <row r="190" ht="15.75" customHeight="1">
      <c r="B190" s="6"/>
      <c r="C190" s="6"/>
      <c r="D190" s="6"/>
      <c r="E190" s="7"/>
      <c r="F190" s="8"/>
      <c r="G190" s="7"/>
      <c r="H190" s="7"/>
      <c r="I190" s="7"/>
      <c r="J190" s="7"/>
      <c r="K190" s="9"/>
      <c r="L190" s="9"/>
      <c r="M190" s="9"/>
      <c r="N190" s="9"/>
      <c r="O190" s="7"/>
      <c r="P190" s="7"/>
      <c r="Q190" s="7"/>
      <c r="U190" s="12"/>
      <c r="V190" s="12"/>
    </row>
    <row r="191" ht="15.75" customHeight="1">
      <c r="B191" s="6"/>
      <c r="C191" s="6"/>
      <c r="D191" s="6"/>
      <c r="E191" s="7"/>
      <c r="F191" s="8"/>
      <c r="G191" s="7"/>
      <c r="H191" s="7"/>
      <c r="I191" s="7"/>
      <c r="J191" s="7"/>
      <c r="K191" s="9"/>
      <c r="L191" s="9"/>
      <c r="M191" s="9"/>
      <c r="N191" s="9"/>
      <c r="O191" s="7"/>
      <c r="P191" s="7"/>
      <c r="Q191" s="7"/>
      <c r="U191" s="12"/>
      <c r="V191" s="12"/>
    </row>
    <row r="192" ht="15.75" customHeight="1">
      <c r="B192" s="6"/>
      <c r="C192" s="6"/>
      <c r="D192" s="6"/>
      <c r="E192" s="7"/>
      <c r="F192" s="8"/>
      <c r="G192" s="7"/>
      <c r="H192" s="7"/>
      <c r="I192" s="7"/>
      <c r="J192" s="7"/>
      <c r="K192" s="9"/>
      <c r="L192" s="9"/>
      <c r="M192" s="9"/>
      <c r="N192" s="9"/>
      <c r="O192" s="7"/>
      <c r="P192" s="7"/>
      <c r="Q192" s="7"/>
      <c r="U192" s="12"/>
      <c r="V192" s="12"/>
    </row>
    <row r="193" ht="15.75" customHeight="1">
      <c r="B193" s="6"/>
      <c r="C193" s="6"/>
      <c r="D193" s="6"/>
      <c r="E193" s="7"/>
      <c r="F193" s="8"/>
      <c r="G193" s="7"/>
      <c r="H193" s="7"/>
      <c r="I193" s="7"/>
      <c r="J193" s="7"/>
      <c r="K193" s="9"/>
      <c r="L193" s="9"/>
      <c r="M193" s="9"/>
      <c r="N193" s="9"/>
      <c r="O193" s="7"/>
      <c r="P193" s="7"/>
      <c r="Q193" s="7"/>
      <c r="U193" s="12"/>
      <c r="V193" s="12"/>
    </row>
    <row r="194" ht="15.75" customHeight="1">
      <c r="B194" s="6"/>
      <c r="C194" s="6"/>
      <c r="D194" s="6"/>
      <c r="E194" s="7"/>
      <c r="F194" s="8"/>
      <c r="G194" s="7"/>
      <c r="H194" s="7"/>
      <c r="I194" s="7"/>
      <c r="J194" s="7"/>
      <c r="K194" s="9"/>
      <c r="L194" s="9"/>
      <c r="M194" s="9"/>
      <c r="N194" s="9"/>
      <c r="O194" s="7"/>
      <c r="P194" s="7"/>
      <c r="Q194" s="7"/>
      <c r="U194" s="12"/>
      <c r="V194" s="12"/>
    </row>
    <row r="195" ht="15.75" customHeight="1">
      <c r="B195" s="6"/>
      <c r="C195" s="6"/>
      <c r="D195" s="6"/>
      <c r="E195" s="7"/>
      <c r="F195" s="8"/>
      <c r="G195" s="7"/>
      <c r="H195" s="7"/>
      <c r="I195" s="7"/>
      <c r="J195" s="7"/>
      <c r="K195" s="9"/>
      <c r="L195" s="9"/>
      <c r="M195" s="9"/>
      <c r="N195" s="9"/>
      <c r="O195" s="7"/>
      <c r="P195" s="7"/>
      <c r="Q195" s="7"/>
      <c r="U195" s="12"/>
      <c r="V195" s="12"/>
    </row>
    <row r="196" ht="15.75" customHeight="1">
      <c r="B196" s="6"/>
      <c r="C196" s="6"/>
      <c r="D196" s="6"/>
      <c r="E196" s="7"/>
      <c r="F196" s="8"/>
      <c r="G196" s="7"/>
      <c r="H196" s="7"/>
      <c r="I196" s="7"/>
      <c r="J196" s="7"/>
      <c r="K196" s="9"/>
      <c r="L196" s="9"/>
      <c r="M196" s="9"/>
      <c r="N196" s="9"/>
      <c r="O196" s="7"/>
      <c r="P196" s="7"/>
      <c r="Q196" s="7"/>
      <c r="U196" s="12"/>
      <c r="V196" s="12"/>
    </row>
    <row r="197" ht="15.75" customHeight="1">
      <c r="B197" s="6"/>
      <c r="C197" s="6"/>
      <c r="D197" s="6"/>
      <c r="E197" s="7"/>
      <c r="F197" s="8"/>
      <c r="G197" s="7"/>
      <c r="H197" s="7"/>
      <c r="I197" s="7"/>
      <c r="J197" s="7"/>
      <c r="K197" s="9"/>
      <c r="L197" s="9"/>
      <c r="M197" s="9"/>
      <c r="N197" s="9"/>
      <c r="O197" s="7"/>
      <c r="P197" s="7"/>
      <c r="Q197" s="7"/>
      <c r="U197" s="12"/>
      <c r="V197" s="12"/>
    </row>
    <row r="198" ht="15.75" customHeight="1">
      <c r="B198" s="6"/>
      <c r="C198" s="6"/>
      <c r="D198" s="6"/>
      <c r="E198" s="7"/>
      <c r="F198" s="8"/>
      <c r="G198" s="7"/>
      <c r="H198" s="7"/>
      <c r="I198" s="7"/>
      <c r="J198" s="7"/>
      <c r="K198" s="9"/>
      <c r="L198" s="9"/>
      <c r="M198" s="9"/>
      <c r="N198" s="9"/>
      <c r="O198" s="7"/>
      <c r="P198" s="7"/>
      <c r="Q198" s="7"/>
      <c r="U198" s="12"/>
      <c r="V198" s="12"/>
    </row>
    <row r="199" ht="15.75" customHeight="1">
      <c r="B199" s="6"/>
      <c r="C199" s="6"/>
      <c r="D199" s="6"/>
      <c r="E199" s="7"/>
      <c r="F199" s="8"/>
      <c r="G199" s="7"/>
      <c r="H199" s="7"/>
      <c r="I199" s="7"/>
      <c r="J199" s="7"/>
      <c r="K199" s="9"/>
      <c r="L199" s="9"/>
      <c r="M199" s="9"/>
      <c r="N199" s="9"/>
      <c r="O199" s="7"/>
      <c r="P199" s="7"/>
      <c r="Q199" s="7"/>
      <c r="U199" s="12"/>
      <c r="V199" s="12"/>
    </row>
    <row r="200" ht="15.75" customHeight="1">
      <c r="B200" s="6"/>
      <c r="C200" s="6"/>
      <c r="D200" s="6"/>
      <c r="E200" s="7"/>
      <c r="F200" s="8"/>
      <c r="G200" s="7"/>
      <c r="H200" s="7"/>
      <c r="I200" s="7"/>
      <c r="J200" s="7"/>
      <c r="K200" s="9"/>
      <c r="L200" s="9"/>
      <c r="M200" s="9"/>
      <c r="N200" s="9"/>
      <c r="O200" s="7"/>
      <c r="P200" s="7"/>
      <c r="Q200" s="7"/>
      <c r="U200" s="12"/>
      <c r="V200" s="12"/>
    </row>
    <row r="201" ht="15.75" customHeight="1">
      <c r="B201" s="6"/>
      <c r="C201" s="6"/>
      <c r="D201" s="6"/>
      <c r="E201" s="7"/>
      <c r="F201" s="8"/>
      <c r="G201" s="7"/>
      <c r="H201" s="7"/>
      <c r="I201" s="7"/>
      <c r="J201" s="7"/>
      <c r="K201" s="9"/>
      <c r="L201" s="9"/>
      <c r="M201" s="9"/>
      <c r="N201" s="9"/>
      <c r="O201" s="7"/>
      <c r="P201" s="7"/>
      <c r="Q201" s="7"/>
      <c r="U201" s="12"/>
      <c r="V201" s="12"/>
    </row>
    <row r="202" ht="15.75" customHeight="1">
      <c r="B202" s="6"/>
      <c r="C202" s="6"/>
      <c r="D202" s="6"/>
      <c r="E202" s="7"/>
      <c r="F202" s="8"/>
      <c r="G202" s="7"/>
      <c r="H202" s="7"/>
      <c r="I202" s="7"/>
      <c r="J202" s="7"/>
      <c r="K202" s="9"/>
      <c r="L202" s="9"/>
      <c r="M202" s="9"/>
      <c r="N202" s="9"/>
      <c r="O202" s="7"/>
      <c r="P202" s="7"/>
      <c r="Q202" s="7"/>
      <c r="U202" s="12"/>
      <c r="V202" s="12"/>
    </row>
    <row r="203" ht="15.75" customHeight="1">
      <c r="B203" s="6"/>
      <c r="C203" s="6"/>
      <c r="D203" s="6"/>
      <c r="E203" s="7"/>
      <c r="F203" s="8"/>
      <c r="G203" s="7"/>
      <c r="H203" s="7"/>
      <c r="I203" s="7"/>
      <c r="J203" s="7"/>
      <c r="K203" s="9"/>
      <c r="L203" s="9"/>
      <c r="M203" s="9"/>
      <c r="N203" s="9"/>
      <c r="O203" s="7"/>
      <c r="P203" s="7"/>
      <c r="Q203" s="7"/>
      <c r="U203" s="12"/>
      <c r="V203" s="12"/>
    </row>
    <row r="204" ht="15.75" customHeight="1">
      <c r="B204" s="6"/>
      <c r="C204" s="6"/>
      <c r="D204" s="6"/>
      <c r="E204" s="7"/>
      <c r="F204" s="8"/>
      <c r="G204" s="7"/>
      <c r="H204" s="7"/>
      <c r="I204" s="7"/>
      <c r="J204" s="7"/>
      <c r="K204" s="9"/>
      <c r="L204" s="9"/>
      <c r="M204" s="9"/>
      <c r="N204" s="9"/>
      <c r="O204" s="7"/>
      <c r="P204" s="7"/>
      <c r="Q204" s="7"/>
      <c r="U204" s="12"/>
      <c r="V204" s="12"/>
    </row>
    <row r="205" ht="15.75" customHeight="1">
      <c r="B205" s="6"/>
      <c r="C205" s="6"/>
      <c r="D205" s="6"/>
      <c r="E205" s="7"/>
      <c r="F205" s="8"/>
      <c r="G205" s="7"/>
      <c r="H205" s="7"/>
      <c r="I205" s="7"/>
      <c r="J205" s="7"/>
      <c r="K205" s="9"/>
      <c r="L205" s="9"/>
      <c r="M205" s="9"/>
      <c r="N205" s="9"/>
      <c r="O205" s="7"/>
      <c r="P205" s="7"/>
      <c r="Q205" s="7"/>
      <c r="U205" s="12"/>
      <c r="V205" s="12"/>
    </row>
    <row r="206" ht="15.75" customHeight="1">
      <c r="B206" s="6"/>
      <c r="C206" s="6"/>
      <c r="D206" s="6"/>
      <c r="E206" s="7"/>
      <c r="F206" s="8"/>
      <c r="G206" s="7"/>
      <c r="H206" s="7"/>
      <c r="I206" s="7"/>
      <c r="J206" s="7"/>
      <c r="K206" s="9"/>
      <c r="L206" s="9"/>
      <c r="M206" s="9"/>
      <c r="N206" s="9"/>
      <c r="O206" s="7"/>
      <c r="P206" s="7"/>
      <c r="Q206" s="7"/>
      <c r="U206" s="12"/>
      <c r="V206" s="12"/>
    </row>
    <row r="207" ht="15.75" customHeight="1">
      <c r="B207" s="6"/>
      <c r="C207" s="6"/>
      <c r="D207" s="6"/>
      <c r="E207" s="7"/>
      <c r="F207" s="8"/>
      <c r="G207" s="7"/>
      <c r="H207" s="7"/>
      <c r="I207" s="7"/>
      <c r="J207" s="7"/>
      <c r="K207" s="9"/>
      <c r="L207" s="9"/>
      <c r="M207" s="9"/>
      <c r="N207" s="9"/>
      <c r="O207" s="7"/>
      <c r="P207" s="7"/>
      <c r="Q207" s="7"/>
      <c r="U207" s="12"/>
      <c r="V207" s="12"/>
    </row>
    <row r="208" ht="15.75" customHeight="1">
      <c r="B208" s="6"/>
      <c r="C208" s="6"/>
      <c r="D208" s="6"/>
      <c r="E208" s="7"/>
      <c r="F208" s="8"/>
      <c r="G208" s="7"/>
      <c r="H208" s="7"/>
      <c r="I208" s="7"/>
      <c r="J208" s="7"/>
      <c r="K208" s="9"/>
      <c r="L208" s="9"/>
      <c r="M208" s="9"/>
      <c r="N208" s="9"/>
      <c r="O208" s="7"/>
      <c r="P208" s="7"/>
      <c r="Q208" s="7"/>
      <c r="U208" s="12"/>
      <c r="V208" s="12"/>
    </row>
    <row r="209" ht="15.75" customHeight="1">
      <c r="B209" s="6"/>
      <c r="C209" s="6"/>
      <c r="D209" s="6"/>
      <c r="E209" s="7"/>
      <c r="F209" s="8"/>
      <c r="G209" s="7"/>
      <c r="H209" s="7"/>
      <c r="I209" s="7"/>
      <c r="J209" s="7"/>
      <c r="K209" s="9"/>
      <c r="L209" s="9"/>
      <c r="M209" s="9"/>
      <c r="N209" s="9"/>
      <c r="O209" s="7"/>
      <c r="P209" s="7"/>
      <c r="Q209" s="7"/>
      <c r="U209" s="12"/>
      <c r="V209" s="12"/>
    </row>
    <row r="210" ht="15.75" customHeight="1">
      <c r="B210" s="6"/>
      <c r="C210" s="6"/>
      <c r="D210" s="6"/>
      <c r="E210" s="7"/>
      <c r="F210" s="8"/>
      <c r="G210" s="7"/>
      <c r="H210" s="7"/>
      <c r="I210" s="7"/>
      <c r="J210" s="7"/>
      <c r="K210" s="9"/>
      <c r="L210" s="9"/>
      <c r="M210" s="9"/>
      <c r="N210" s="9"/>
      <c r="O210" s="7"/>
      <c r="P210" s="7"/>
      <c r="Q210" s="7"/>
      <c r="U210" s="12"/>
      <c r="V210" s="12"/>
    </row>
    <row r="211" ht="15.75" customHeight="1">
      <c r="B211" s="6"/>
      <c r="C211" s="6"/>
      <c r="D211" s="6"/>
      <c r="E211" s="7"/>
      <c r="F211" s="8"/>
      <c r="G211" s="7"/>
      <c r="H211" s="7"/>
      <c r="I211" s="7"/>
      <c r="J211" s="7"/>
      <c r="K211" s="9"/>
      <c r="L211" s="9"/>
      <c r="M211" s="9"/>
      <c r="N211" s="9"/>
      <c r="O211" s="7"/>
      <c r="P211" s="7"/>
      <c r="Q211" s="7"/>
      <c r="U211" s="12"/>
      <c r="V211" s="12"/>
    </row>
    <row r="212" ht="15.75" customHeight="1">
      <c r="B212" s="6"/>
      <c r="C212" s="6"/>
      <c r="D212" s="6"/>
      <c r="E212" s="7"/>
      <c r="F212" s="8"/>
      <c r="G212" s="7"/>
      <c r="H212" s="7"/>
      <c r="I212" s="7"/>
      <c r="J212" s="7"/>
      <c r="K212" s="9"/>
      <c r="L212" s="9"/>
      <c r="M212" s="9"/>
      <c r="N212" s="9"/>
      <c r="O212" s="7"/>
      <c r="P212" s="7"/>
      <c r="Q212" s="7"/>
      <c r="U212" s="12"/>
      <c r="V212" s="12"/>
    </row>
    <row r="213" ht="15.75" customHeight="1">
      <c r="B213" s="6"/>
      <c r="C213" s="6"/>
      <c r="D213" s="6"/>
      <c r="E213" s="7"/>
      <c r="F213" s="8"/>
      <c r="G213" s="7"/>
      <c r="H213" s="7"/>
      <c r="I213" s="7"/>
      <c r="J213" s="7"/>
      <c r="K213" s="9"/>
      <c r="L213" s="9"/>
      <c r="M213" s="9"/>
      <c r="N213" s="9"/>
      <c r="O213" s="7"/>
      <c r="P213" s="7"/>
      <c r="Q213" s="7"/>
      <c r="U213" s="12"/>
      <c r="V213" s="12"/>
    </row>
    <row r="214" ht="15.75" customHeight="1">
      <c r="B214" s="6"/>
      <c r="C214" s="6"/>
      <c r="D214" s="6"/>
      <c r="E214" s="7"/>
      <c r="F214" s="8"/>
      <c r="G214" s="7"/>
      <c r="H214" s="7"/>
      <c r="I214" s="7"/>
      <c r="J214" s="7"/>
      <c r="K214" s="9"/>
      <c r="L214" s="9"/>
      <c r="M214" s="9"/>
      <c r="N214" s="9"/>
      <c r="O214" s="7"/>
      <c r="P214" s="7"/>
      <c r="Q214" s="7"/>
      <c r="U214" s="12"/>
      <c r="V214" s="12"/>
    </row>
    <row r="215" ht="15.75" customHeight="1">
      <c r="B215" s="6"/>
      <c r="C215" s="6"/>
      <c r="D215" s="6"/>
      <c r="E215" s="7"/>
      <c r="F215" s="8"/>
      <c r="G215" s="7"/>
      <c r="H215" s="7"/>
      <c r="I215" s="7"/>
      <c r="J215" s="7"/>
      <c r="K215" s="9"/>
      <c r="L215" s="9"/>
      <c r="M215" s="9"/>
      <c r="N215" s="9"/>
      <c r="O215" s="7"/>
      <c r="P215" s="7"/>
      <c r="Q215" s="7"/>
      <c r="U215" s="12"/>
      <c r="V215" s="12"/>
    </row>
    <row r="216" ht="15.75" customHeight="1">
      <c r="B216" s="6"/>
      <c r="C216" s="6"/>
      <c r="D216" s="6"/>
      <c r="E216" s="7"/>
      <c r="F216" s="8"/>
      <c r="G216" s="7"/>
      <c r="H216" s="7"/>
      <c r="I216" s="7"/>
      <c r="J216" s="7"/>
      <c r="K216" s="9"/>
      <c r="L216" s="9"/>
      <c r="M216" s="9"/>
      <c r="N216" s="9"/>
      <c r="O216" s="7"/>
      <c r="P216" s="7"/>
      <c r="Q216" s="7"/>
      <c r="U216" s="12"/>
      <c r="V216" s="12"/>
    </row>
    <row r="217" ht="15.75" customHeight="1">
      <c r="B217" s="6"/>
      <c r="C217" s="6"/>
      <c r="D217" s="6"/>
      <c r="E217" s="7"/>
      <c r="F217" s="8"/>
      <c r="G217" s="7"/>
      <c r="H217" s="7"/>
      <c r="I217" s="7"/>
      <c r="J217" s="7"/>
      <c r="K217" s="9"/>
      <c r="L217" s="9"/>
      <c r="M217" s="9"/>
      <c r="N217" s="9"/>
      <c r="O217" s="7"/>
      <c r="P217" s="7"/>
      <c r="Q217" s="7"/>
      <c r="U217" s="12"/>
      <c r="V217" s="12"/>
    </row>
    <row r="218" ht="15.75" customHeight="1">
      <c r="B218" s="6"/>
      <c r="C218" s="6"/>
      <c r="D218" s="6"/>
      <c r="E218" s="7"/>
      <c r="F218" s="8"/>
      <c r="G218" s="7"/>
      <c r="H218" s="7"/>
      <c r="I218" s="7"/>
      <c r="J218" s="7"/>
      <c r="K218" s="9"/>
      <c r="L218" s="9"/>
      <c r="M218" s="9"/>
      <c r="N218" s="9"/>
      <c r="O218" s="7"/>
      <c r="P218" s="7"/>
      <c r="Q218" s="7"/>
      <c r="U218" s="12"/>
      <c r="V218" s="12"/>
    </row>
    <row r="219" ht="15.75" customHeight="1">
      <c r="B219" s="6"/>
      <c r="C219" s="6"/>
      <c r="D219" s="6"/>
      <c r="E219" s="7"/>
      <c r="F219" s="8"/>
      <c r="G219" s="7"/>
      <c r="H219" s="7"/>
      <c r="I219" s="7"/>
      <c r="J219" s="7"/>
      <c r="K219" s="9"/>
      <c r="L219" s="9"/>
      <c r="M219" s="9"/>
      <c r="N219" s="9"/>
      <c r="O219" s="7"/>
      <c r="P219" s="7"/>
      <c r="Q219" s="7"/>
      <c r="U219" s="12"/>
      <c r="V219" s="12"/>
    </row>
    <row r="220" ht="15.75" customHeight="1">
      <c r="B220" s="6"/>
      <c r="C220" s="6"/>
      <c r="D220" s="6"/>
      <c r="E220" s="7"/>
      <c r="F220" s="8"/>
      <c r="G220" s="7"/>
      <c r="H220" s="7"/>
      <c r="I220" s="7"/>
      <c r="J220" s="7"/>
      <c r="K220" s="9"/>
      <c r="L220" s="9"/>
      <c r="M220" s="9"/>
      <c r="N220" s="9"/>
      <c r="O220" s="7"/>
      <c r="P220" s="7"/>
      <c r="Q220" s="7"/>
      <c r="U220" s="12"/>
      <c r="V220" s="12"/>
    </row>
    <row r="221" ht="15.75" customHeight="1">
      <c r="B221" s="6"/>
      <c r="C221" s="6"/>
      <c r="D221" s="6"/>
      <c r="E221" s="7"/>
      <c r="F221" s="8"/>
      <c r="G221" s="7"/>
      <c r="H221" s="7"/>
      <c r="I221" s="7"/>
      <c r="J221" s="7"/>
      <c r="K221" s="9"/>
      <c r="L221" s="9"/>
      <c r="M221" s="9"/>
      <c r="N221" s="9"/>
      <c r="O221" s="7"/>
      <c r="P221" s="7"/>
      <c r="Q221" s="7"/>
      <c r="U221" s="12"/>
      <c r="V221" s="12"/>
    </row>
    <row r="222" ht="15.75" customHeight="1">
      <c r="B222" s="6"/>
      <c r="C222" s="6"/>
      <c r="D222" s="6"/>
      <c r="E222" s="7"/>
      <c r="F222" s="8"/>
      <c r="G222" s="7"/>
      <c r="H222" s="7"/>
      <c r="I222" s="7"/>
      <c r="J222" s="7"/>
      <c r="K222" s="9"/>
      <c r="L222" s="9"/>
      <c r="M222" s="9"/>
      <c r="N222" s="9"/>
      <c r="O222" s="7"/>
      <c r="P222" s="7"/>
      <c r="Q222" s="7"/>
      <c r="U222" s="12"/>
      <c r="V222" s="12"/>
    </row>
    <row r="223" ht="15.75" customHeight="1">
      <c r="B223" s="6"/>
      <c r="C223" s="6"/>
      <c r="D223" s="6"/>
      <c r="E223" s="7"/>
      <c r="F223" s="8"/>
      <c r="G223" s="7"/>
      <c r="H223" s="7"/>
      <c r="I223" s="7"/>
      <c r="J223" s="7"/>
      <c r="K223" s="9"/>
      <c r="L223" s="9"/>
      <c r="M223" s="9"/>
      <c r="N223" s="9"/>
      <c r="O223" s="7"/>
      <c r="P223" s="7"/>
      <c r="Q223" s="7"/>
      <c r="U223" s="12"/>
      <c r="V223" s="1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A$23">
    <filterColumn colId="3">
      <filters>
        <filter val="20GK"/>
      </filters>
    </filterColumn>
  </autoFilter>
  <conditionalFormatting sqref="Z5:Z23">
    <cfRule type="containsText" dxfId="0" priority="1" operator="containsText" text="ATUALIZADO">
      <formula>NOT(ISERROR(SEARCH(("ATUALIZADO"),(Z5))))</formula>
    </cfRule>
  </conditionalFormatting>
  <conditionalFormatting sqref="Z5:Z23">
    <cfRule type="containsText" dxfId="1" priority="2" operator="containsText" text="NÃO LOCALIZADO">
      <formula>NOT(ISERROR(SEARCH(("NÃO LOCALIZADO"),(Z5))))</formula>
    </cfRule>
  </conditionalFormatting>
  <conditionalFormatting sqref="Z5:Z23">
    <cfRule type="containsText" dxfId="2" priority="3" operator="containsText" text="DUPLICADO">
      <formula>NOT(ISERROR(SEARCH(("DUPLICADO"),(Z5))))</formula>
    </cfRule>
  </conditionalFormatting>
  <conditionalFormatting sqref="Z5:Z23">
    <cfRule type="containsText" dxfId="3" priority="4" operator="containsText" text="SEM EMPENHO">
      <formula>NOT(ISERROR(SEARCH(("SEM EMPENHO"),(Z5))))</formula>
    </cfRule>
  </conditionalFormatting>
  <printOptions/>
  <pageMargins bottom="0.75" footer="0.0" header="0.0" left="0.7" right="0.7" top="0.75"/>
  <pageSetup scale="7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18.0"/>
    <col customWidth="1" min="4" max="4" width="24.0"/>
    <col customWidth="1" min="5" max="5" width="18.0"/>
    <col customWidth="1" min="6" max="6" width="20.0"/>
    <col customWidth="1" min="7" max="7" width="5.57"/>
    <col customWidth="1" min="8" max="8" width="10.86"/>
    <col customWidth="1" min="9" max="9" width="19.43"/>
    <col customWidth="1" min="10" max="10" width="13.43"/>
    <col customWidth="1" min="11" max="11" width="18.0"/>
    <col customWidth="1" min="12" max="12" width="12.43"/>
    <col customWidth="1" min="13" max="13" width="18.0"/>
    <col customWidth="1" min="14" max="14" width="14.86"/>
    <col customWidth="1" min="15" max="15" width="7.0"/>
    <col customWidth="1" min="16" max="20" width="7.29"/>
    <col customWidth="1" min="21" max="21" width="6.43"/>
    <col customWidth="1" min="22" max="27" width="8.43"/>
    <col customWidth="1" min="28" max="28" width="9.14"/>
    <col customWidth="1" min="29" max="29" width="13.57"/>
    <col customWidth="1" min="30" max="30" width="18.0"/>
    <col customWidth="1" min="31" max="31" width="20.0"/>
    <col customWidth="1" min="32" max="32" width="26.0"/>
  </cols>
  <sheetData>
    <row r="1" ht="36.0" customHeight="1">
      <c r="A1" s="10" t="s">
        <v>10</v>
      </c>
      <c r="B1" s="10"/>
      <c r="C1" s="10" t="s">
        <v>16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23</v>
      </c>
      <c r="I1" s="10" t="s">
        <v>25</v>
      </c>
      <c r="J1" s="10" t="s">
        <v>26</v>
      </c>
      <c r="K1" s="10"/>
      <c r="L1" s="10" t="s">
        <v>28</v>
      </c>
      <c r="M1" s="10"/>
      <c r="N1" s="10" t="s">
        <v>30</v>
      </c>
      <c r="O1" s="10" t="s">
        <v>33</v>
      </c>
      <c r="P1" s="10" t="s">
        <v>35</v>
      </c>
      <c r="Q1" s="10" t="s">
        <v>38</v>
      </c>
      <c r="R1" s="10" t="s">
        <v>39</v>
      </c>
      <c r="S1" s="10" t="s">
        <v>41</v>
      </c>
      <c r="T1" s="10" t="s">
        <v>43</v>
      </c>
      <c r="U1" s="10" t="s">
        <v>45</v>
      </c>
      <c r="V1" s="10" t="s">
        <v>47</v>
      </c>
      <c r="W1" s="10" t="s">
        <v>49</v>
      </c>
      <c r="X1" s="10" t="s">
        <v>50</v>
      </c>
      <c r="Y1" s="10" t="s">
        <v>51</v>
      </c>
      <c r="Z1" s="10" t="s">
        <v>52</v>
      </c>
      <c r="AA1" s="10" t="s">
        <v>53</v>
      </c>
      <c r="AB1" s="10" t="s">
        <v>54</v>
      </c>
      <c r="AC1" s="10" t="s">
        <v>55</v>
      </c>
      <c r="AD1" s="10" t="s">
        <v>56</v>
      </c>
      <c r="AE1" s="10" t="s">
        <v>57</v>
      </c>
      <c r="AF1" s="10" t="s">
        <v>58</v>
      </c>
    </row>
    <row r="2" ht="37.5" customHeight="1">
      <c r="A2" s="25">
        <v>153165.0</v>
      </c>
      <c r="B2" s="25" t="s">
        <v>64</v>
      </c>
      <c r="C2" s="25" t="s">
        <v>64</v>
      </c>
      <c r="D2" s="25" t="s">
        <v>68</v>
      </c>
      <c r="E2" s="25" t="s">
        <v>71</v>
      </c>
      <c r="F2" s="25" t="s">
        <v>73</v>
      </c>
      <c r="G2" s="25">
        <v>230396.0</v>
      </c>
      <c r="H2" s="25">
        <v>4002.0</v>
      </c>
      <c r="I2" s="25">
        <v>1.0E9</v>
      </c>
      <c r="J2" s="25">
        <v>339018.0</v>
      </c>
      <c r="K2" s="25" t="s">
        <v>76</v>
      </c>
      <c r="L2" s="25">
        <v>157681.0</v>
      </c>
      <c r="M2" s="25" t="s">
        <v>78</v>
      </c>
      <c r="N2" s="25" t="s">
        <v>80</v>
      </c>
      <c r="O2" s="30">
        <v>8820.0</v>
      </c>
      <c r="P2" s="30">
        <v>8820.0</v>
      </c>
      <c r="Q2" s="30">
        <v>8820.0</v>
      </c>
      <c r="R2" s="30">
        <v>7980.0</v>
      </c>
      <c r="S2" s="30">
        <v>0.0</v>
      </c>
      <c r="T2" s="30">
        <v>0.0</v>
      </c>
      <c r="U2" s="30">
        <v>18480.0</v>
      </c>
      <c r="V2" s="30">
        <v>0.0</v>
      </c>
      <c r="W2" s="30"/>
      <c r="X2" s="30"/>
      <c r="Y2" s="30"/>
      <c r="Z2" s="30"/>
      <c r="AA2" s="30">
        <v>62160.0</v>
      </c>
      <c r="AB2" s="30">
        <v>62160.0</v>
      </c>
      <c r="AC2" s="39">
        <v>0.0</v>
      </c>
      <c r="AD2" s="43" t="str">
        <f t="shared" ref="AD2:AD1000" si="1">IF(D2="","",RIGHT(TRIM(D2),12))</f>
        <v>2026NE000013</v>
      </c>
      <c r="AE2" s="43" t="str">
        <f>IF(AD2="","",IF(COUNTIF($AD$2:$AD$1000,AD2)&gt;1,"DUPLICADO NO TG",IF(COUNTIF('Bolsas e auxílios'!$J$5:$J$1000,AD2)=0,"FORA DO CONTROLE","LOCALIZADO")))</f>
        <v>LOCALIZADO</v>
      </c>
      <c r="AF2" s="45">
        <v>46231.5</v>
      </c>
    </row>
    <row r="3" ht="37.5" customHeight="1">
      <c r="A3" s="25">
        <v>153165.0</v>
      </c>
      <c r="B3" s="25" t="s">
        <v>64</v>
      </c>
      <c r="C3" s="25" t="s">
        <v>64</v>
      </c>
      <c r="D3" s="25" t="s">
        <v>94</v>
      </c>
      <c r="E3" s="25" t="s">
        <v>95</v>
      </c>
      <c r="F3" s="25" t="s">
        <v>96</v>
      </c>
      <c r="G3" s="25">
        <v>230395.0</v>
      </c>
      <c r="H3" s="25" t="s">
        <v>88</v>
      </c>
      <c r="I3" s="25">
        <v>1.0E9</v>
      </c>
      <c r="J3" s="25">
        <v>339018.0</v>
      </c>
      <c r="K3" s="25" t="s">
        <v>76</v>
      </c>
      <c r="L3" s="25">
        <v>157684.0</v>
      </c>
      <c r="M3" s="25" t="s">
        <v>97</v>
      </c>
      <c r="N3" s="25" t="s">
        <v>98</v>
      </c>
      <c r="O3" s="30">
        <v>89670.0</v>
      </c>
      <c r="P3" s="30">
        <v>89040.0</v>
      </c>
      <c r="Q3" s="30">
        <v>79065.0</v>
      </c>
      <c r="R3" s="30">
        <v>83370.0</v>
      </c>
      <c r="S3" s="30">
        <v>94080.0</v>
      </c>
      <c r="T3" s="30">
        <v>94080.0</v>
      </c>
      <c r="U3" s="30">
        <v>94920.0</v>
      </c>
      <c r="V3" s="30">
        <v>0.0</v>
      </c>
      <c r="W3" s="30"/>
      <c r="X3" s="30"/>
      <c r="Y3" s="30"/>
      <c r="Z3" s="30"/>
      <c r="AA3" s="30">
        <v>611625.0</v>
      </c>
      <c r="AB3" s="30">
        <v>625065.0</v>
      </c>
      <c r="AC3" s="39">
        <v>13440.0</v>
      </c>
      <c r="AD3" s="43" t="str">
        <f t="shared" si="1"/>
        <v>2026NE000014</v>
      </c>
      <c r="AE3" s="43" t="str">
        <f>IF(AD3="","",IF(COUNTIF($AD$2:$AD$1000,AD3)&gt;1,"DUPLICADO NO TG",IF(COUNTIF('Bolsas e auxílios'!$J$5:$J$1000,AD3)=0,"FORA DO CONTROLE","LOCALIZADO")))</f>
        <v>LOCALIZADO</v>
      </c>
      <c r="AF3" s="43" t="s">
        <v>99</v>
      </c>
    </row>
    <row r="4" ht="37.5" customHeight="1">
      <c r="A4" s="25">
        <v>153165.0</v>
      </c>
      <c r="B4" s="25" t="s">
        <v>64</v>
      </c>
      <c r="C4" s="25" t="s">
        <v>64</v>
      </c>
      <c r="D4" s="25" t="s">
        <v>100</v>
      </c>
      <c r="E4" s="25" t="s">
        <v>101</v>
      </c>
      <c r="F4" s="25" t="s">
        <v>96</v>
      </c>
      <c r="G4" s="25">
        <v>230395.0</v>
      </c>
      <c r="H4" s="25" t="s">
        <v>88</v>
      </c>
      <c r="I4" s="25">
        <v>1.0E9</v>
      </c>
      <c r="J4" s="25">
        <v>339018.0</v>
      </c>
      <c r="K4" s="25" t="s">
        <v>76</v>
      </c>
      <c r="L4" s="25">
        <v>157665.0</v>
      </c>
      <c r="M4" s="25" t="s">
        <v>102</v>
      </c>
      <c r="N4" s="25" t="s">
        <v>103</v>
      </c>
      <c r="O4" s="30">
        <v>1400.0</v>
      </c>
      <c r="P4" s="30">
        <v>1400.0</v>
      </c>
      <c r="Q4" s="30">
        <v>1400.0</v>
      </c>
      <c r="R4" s="30">
        <v>1400.0</v>
      </c>
      <c r="S4" s="30">
        <v>1400.0</v>
      </c>
      <c r="T4" s="30">
        <v>1400.0</v>
      </c>
      <c r="U4" s="30">
        <v>1400.0</v>
      </c>
      <c r="V4" s="30">
        <v>0.0</v>
      </c>
      <c r="W4" s="30"/>
      <c r="X4" s="30"/>
      <c r="Y4" s="30"/>
      <c r="Z4" s="30"/>
      <c r="AA4" s="30">
        <v>9800.0</v>
      </c>
      <c r="AB4" s="30">
        <v>9800.0</v>
      </c>
      <c r="AC4" s="39">
        <v>0.0</v>
      </c>
      <c r="AD4" s="43" t="str">
        <f t="shared" si="1"/>
        <v>2026NE000015</v>
      </c>
      <c r="AE4" s="43" t="str">
        <f>IF(AD4="","",IF(COUNTIF($AD$2:$AD$1000,AD4)&gt;1,"DUPLICADO NO TG",IF(COUNTIF('Bolsas e auxílios'!$J$5:$J$1000,AD4)=0,"FORA DO CONTROLE","LOCALIZADO")))</f>
        <v>LOCALIZADO</v>
      </c>
      <c r="AF4" s="43"/>
    </row>
    <row r="5" ht="37.5" customHeight="1">
      <c r="A5" s="25">
        <v>153165.0</v>
      </c>
      <c r="B5" s="25" t="s">
        <v>64</v>
      </c>
      <c r="C5" s="25" t="s">
        <v>64</v>
      </c>
      <c r="D5" s="25" t="s">
        <v>109</v>
      </c>
      <c r="E5" s="25" t="s">
        <v>110</v>
      </c>
      <c r="F5" s="25" t="s">
        <v>96</v>
      </c>
      <c r="G5" s="25">
        <v>230395.0</v>
      </c>
      <c r="H5" s="25" t="s">
        <v>88</v>
      </c>
      <c r="I5" s="25">
        <v>1.0E9</v>
      </c>
      <c r="J5" s="25">
        <v>339018.0</v>
      </c>
      <c r="K5" s="25" t="s">
        <v>76</v>
      </c>
      <c r="L5" s="25">
        <v>157736.0</v>
      </c>
      <c r="M5" s="25" t="s">
        <v>111</v>
      </c>
      <c r="N5" s="25" t="s">
        <v>103</v>
      </c>
      <c r="O5" s="30"/>
      <c r="P5" s="30">
        <v>91000.0</v>
      </c>
      <c r="Q5" s="30">
        <v>45500.0</v>
      </c>
      <c r="R5" s="30">
        <v>45500.0</v>
      </c>
      <c r="S5" s="30">
        <v>45500.0</v>
      </c>
      <c r="T5" s="30">
        <v>45500.0</v>
      </c>
      <c r="U5" s="30">
        <v>45500.0</v>
      </c>
      <c r="V5" s="30">
        <v>0.0</v>
      </c>
      <c r="W5" s="30"/>
      <c r="X5" s="30"/>
      <c r="Y5" s="30"/>
      <c r="Z5" s="30"/>
      <c r="AA5" s="30">
        <v>318500.0</v>
      </c>
      <c r="AB5" s="30">
        <v>318500.0</v>
      </c>
      <c r="AC5" s="39">
        <v>0.0</v>
      </c>
      <c r="AD5" s="43" t="str">
        <f t="shared" si="1"/>
        <v>2026NE000016</v>
      </c>
      <c r="AE5" s="43" t="str">
        <f>IF(AD5="","",IF(COUNTIF($AD$2:$AD$1000,AD5)&gt;1,"DUPLICADO NO TG",IF(COUNTIF('Bolsas e auxílios'!$J$5:$J$1000,AD5)=0,"FORA DO CONTROLE","LOCALIZADO")))</f>
        <v>LOCALIZADO</v>
      </c>
      <c r="AF5" s="43"/>
    </row>
    <row r="6" ht="37.5" customHeight="1">
      <c r="A6" s="25">
        <v>153165.0</v>
      </c>
      <c r="B6" s="25" t="s">
        <v>64</v>
      </c>
      <c r="C6" s="25" t="s">
        <v>64</v>
      </c>
      <c r="D6" s="25" t="s">
        <v>116</v>
      </c>
      <c r="E6" s="25" t="s">
        <v>117</v>
      </c>
      <c r="F6" s="25" t="s">
        <v>96</v>
      </c>
      <c r="G6" s="25">
        <v>230395.0</v>
      </c>
      <c r="H6" s="25" t="s">
        <v>88</v>
      </c>
      <c r="I6" s="25">
        <v>1.0E9</v>
      </c>
      <c r="J6" s="25">
        <v>339018.0</v>
      </c>
      <c r="K6" s="25" t="s">
        <v>76</v>
      </c>
      <c r="L6" s="25">
        <v>157736.0</v>
      </c>
      <c r="M6" s="25" t="s">
        <v>111</v>
      </c>
      <c r="N6" s="25" t="s">
        <v>103</v>
      </c>
      <c r="O6" s="30"/>
      <c r="P6" s="30">
        <v>2800.0</v>
      </c>
      <c r="Q6" s="30">
        <v>1400.0</v>
      </c>
      <c r="R6" s="30">
        <v>1400.0</v>
      </c>
      <c r="S6" s="30">
        <v>1400.0</v>
      </c>
      <c r="T6" s="30">
        <v>1400.0</v>
      </c>
      <c r="U6" s="30">
        <v>1400.0</v>
      </c>
      <c r="V6" s="30">
        <v>0.0</v>
      </c>
      <c r="W6" s="30"/>
      <c r="X6" s="30"/>
      <c r="Y6" s="30"/>
      <c r="Z6" s="30"/>
      <c r="AA6" s="30">
        <v>9800.0</v>
      </c>
      <c r="AB6" s="30">
        <v>9800.0</v>
      </c>
      <c r="AC6" s="39">
        <v>0.0</v>
      </c>
      <c r="AD6" s="43" t="str">
        <f t="shared" si="1"/>
        <v>2026NE000017</v>
      </c>
      <c r="AE6" s="43" t="str">
        <f>IF(AD6="","",IF(COUNTIF($AD$2:$AD$1000,AD6)&gt;1,"DUPLICADO NO TG",IF(COUNTIF('Bolsas e auxílios'!$J$5:$J$1000,AD6)=0,"FORA DO CONTROLE","LOCALIZADO")))</f>
        <v>LOCALIZADO</v>
      </c>
      <c r="AF6" s="43"/>
    </row>
    <row r="7" ht="37.5" customHeight="1">
      <c r="A7" s="25">
        <v>153165.0</v>
      </c>
      <c r="B7" s="25" t="s">
        <v>64</v>
      </c>
      <c r="C7" s="25" t="s">
        <v>64</v>
      </c>
      <c r="D7" s="25" t="s">
        <v>120</v>
      </c>
      <c r="E7" s="25" t="s">
        <v>121</v>
      </c>
      <c r="F7" s="25" t="s">
        <v>96</v>
      </c>
      <c r="G7" s="25">
        <v>230395.0</v>
      </c>
      <c r="H7" s="25" t="s">
        <v>88</v>
      </c>
      <c r="I7" s="25">
        <v>1.0E9</v>
      </c>
      <c r="J7" s="25">
        <v>339018.0</v>
      </c>
      <c r="K7" s="25" t="s">
        <v>76</v>
      </c>
      <c r="L7" s="25">
        <v>157736.0</v>
      </c>
      <c r="M7" s="25" t="s">
        <v>111</v>
      </c>
      <c r="N7" s="25" t="s">
        <v>103</v>
      </c>
      <c r="O7" s="30"/>
      <c r="P7" s="30">
        <v>11700.0</v>
      </c>
      <c r="Q7" s="30">
        <v>6000.0</v>
      </c>
      <c r="R7" s="30">
        <v>6000.0</v>
      </c>
      <c r="S7" s="30">
        <v>6000.0</v>
      </c>
      <c r="T7" s="30">
        <v>6000.0</v>
      </c>
      <c r="U7" s="30">
        <v>6000.0</v>
      </c>
      <c r="V7" s="30">
        <v>0.0</v>
      </c>
      <c r="W7" s="30"/>
      <c r="X7" s="30"/>
      <c r="Y7" s="30"/>
      <c r="Z7" s="30"/>
      <c r="AA7" s="30">
        <v>41700.0</v>
      </c>
      <c r="AB7" s="30">
        <v>41700.0</v>
      </c>
      <c r="AC7" s="39">
        <v>0.0</v>
      </c>
      <c r="AD7" s="43" t="str">
        <f t="shared" si="1"/>
        <v>2026NE000018</v>
      </c>
      <c r="AE7" s="43" t="str">
        <f>IF(AD7="","",IF(COUNTIF($AD$2:$AD$1000,AD7)&gt;1,"DUPLICADO NO TG",IF(COUNTIF('Bolsas e auxílios'!$J$5:$J$1000,AD7)=0,"FORA DO CONTROLE","LOCALIZADO")))</f>
        <v>LOCALIZADO</v>
      </c>
      <c r="AF7" s="43"/>
    </row>
    <row r="8" ht="37.5" customHeight="1">
      <c r="A8" s="25">
        <v>153165.0</v>
      </c>
      <c r="B8" s="25" t="s">
        <v>64</v>
      </c>
      <c r="C8" s="25" t="s">
        <v>64</v>
      </c>
      <c r="D8" s="25" t="s">
        <v>131</v>
      </c>
      <c r="E8" s="25" t="s">
        <v>132</v>
      </c>
      <c r="F8" s="25" t="s">
        <v>133</v>
      </c>
      <c r="G8" s="25">
        <v>230395.0</v>
      </c>
      <c r="H8" s="25" t="s">
        <v>88</v>
      </c>
      <c r="I8" s="25">
        <v>1.0E9</v>
      </c>
      <c r="J8" s="25">
        <v>339048.0</v>
      </c>
      <c r="K8" s="25" t="s">
        <v>135</v>
      </c>
      <c r="L8" s="25">
        <v>157666.0</v>
      </c>
      <c r="M8" s="25" t="s">
        <v>137</v>
      </c>
      <c r="N8" s="25" t="s">
        <v>133</v>
      </c>
      <c r="O8" s="30"/>
      <c r="P8" s="30">
        <v>3000.0</v>
      </c>
      <c r="Q8" s="30">
        <v>0.0</v>
      </c>
      <c r="R8" s="30">
        <v>-3000.0</v>
      </c>
      <c r="S8" s="30">
        <v>0.0</v>
      </c>
      <c r="T8" s="30">
        <v>0.0</v>
      </c>
      <c r="U8" s="30">
        <v>0.0</v>
      </c>
      <c r="V8" s="30">
        <v>0.0</v>
      </c>
      <c r="W8" s="30"/>
      <c r="X8" s="30"/>
      <c r="Y8" s="30"/>
      <c r="Z8" s="30"/>
      <c r="AA8" s="30">
        <v>0.0</v>
      </c>
      <c r="AB8" s="30">
        <v>0.0</v>
      </c>
      <c r="AC8" s="39">
        <v>0.0</v>
      </c>
      <c r="AD8" s="43" t="str">
        <f t="shared" si="1"/>
        <v>2026NE000019</v>
      </c>
      <c r="AE8" s="43" t="str">
        <f>IF(AD8="","",IF(COUNTIF($AD$2:$AD$1000,AD8)&gt;1,"DUPLICADO NO TG",IF(COUNTIF('Bolsas e auxílios'!$J$5:$J$1000,AD8)=0,"FORA DO CONTROLE","LOCALIZADO")))</f>
        <v>FORA DO CONTROLE</v>
      </c>
      <c r="AF8" s="43"/>
    </row>
    <row r="9" ht="37.5" customHeight="1">
      <c r="A9" s="25">
        <v>153165.0</v>
      </c>
      <c r="B9" s="25" t="s">
        <v>64</v>
      </c>
      <c r="C9" s="25" t="s">
        <v>64</v>
      </c>
      <c r="D9" s="25" t="s">
        <v>142</v>
      </c>
      <c r="E9" s="25" t="s">
        <v>143</v>
      </c>
      <c r="F9" s="25" t="s">
        <v>96</v>
      </c>
      <c r="G9" s="25">
        <v>230389.0</v>
      </c>
      <c r="H9" s="25" t="s">
        <v>88</v>
      </c>
      <c r="I9" s="25">
        <v>1.0E9</v>
      </c>
      <c r="J9" s="25">
        <v>339018.0</v>
      </c>
      <c r="K9" s="25" t="s">
        <v>76</v>
      </c>
      <c r="L9" s="25">
        <v>151931.0</v>
      </c>
      <c r="M9" s="25" t="s">
        <v>147</v>
      </c>
      <c r="N9" s="25" t="s">
        <v>89</v>
      </c>
      <c r="O9" s="30">
        <v>12075.0</v>
      </c>
      <c r="P9" s="30">
        <v>12075.0</v>
      </c>
      <c r="Q9" s="30">
        <v>7875.0</v>
      </c>
      <c r="R9" s="30">
        <v>7875.0</v>
      </c>
      <c r="S9" s="30">
        <v>6825.0</v>
      </c>
      <c r="T9" s="30">
        <v>6825.0</v>
      </c>
      <c r="U9" s="30">
        <v>6300.0</v>
      </c>
      <c r="V9" s="30">
        <v>0.0</v>
      </c>
      <c r="W9" s="30"/>
      <c r="X9" s="30"/>
      <c r="Y9" s="30"/>
      <c r="Z9" s="30"/>
      <c r="AA9" s="30">
        <v>60525.0</v>
      </c>
      <c r="AB9" s="30">
        <v>75075.0</v>
      </c>
      <c r="AC9" s="39">
        <v>14550.0</v>
      </c>
      <c r="AD9" s="43" t="str">
        <f t="shared" si="1"/>
        <v>2026NE000020</v>
      </c>
      <c r="AE9" s="43" t="str">
        <f>IF(AD9="","",IF(COUNTIF($AD$2:$AD$1000,AD9)&gt;1,"DUPLICADO NO TG",IF(COUNTIF('Bolsas e auxílios'!$J$5:$J$1000,AD9)=0,"FORA DO CONTROLE","LOCALIZADO")))</f>
        <v>LOCALIZADO</v>
      </c>
      <c r="AF9" s="43"/>
    </row>
    <row r="10" ht="37.5" customHeight="1">
      <c r="A10" s="25">
        <v>153165.0</v>
      </c>
      <c r="B10" s="25" t="s">
        <v>64</v>
      </c>
      <c r="C10" s="25" t="s">
        <v>64</v>
      </c>
      <c r="D10" s="25" t="s">
        <v>152</v>
      </c>
      <c r="E10" s="25" t="s">
        <v>153</v>
      </c>
      <c r="F10" s="25" t="s">
        <v>96</v>
      </c>
      <c r="G10" s="25">
        <v>230395.0</v>
      </c>
      <c r="H10" s="25" t="s">
        <v>88</v>
      </c>
      <c r="I10" s="25">
        <v>1.0E9</v>
      </c>
      <c r="J10" s="25">
        <v>339018.0</v>
      </c>
      <c r="K10" s="25" t="s">
        <v>76</v>
      </c>
      <c r="L10" s="25">
        <v>157773.0</v>
      </c>
      <c r="M10" s="25" t="s">
        <v>155</v>
      </c>
      <c r="N10" s="25" t="s">
        <v>133</v>
      </c>
      <c r="O10" s="30"/>
      <c r="P10" s="30">
        <v>11900.0</v>
      </c>
      <c r="Q10" s="30">
        <v>11200.0</v>
      </c>
      <c r="R10" s="30">
        <v>12600.0</v>
      </c>
      <c r="S10" s="30">
        <v>8400.0</v>
      </c>
      <c r="T10" s="30">
        <v>8400.0</v>
      </c>
      <c r="U10" s="30">
        <v>8400.0</v>
      </c>
      <c r="V10" s="30">
        <v>0.0</v>
      </c>
      <c r="W10" s="30"/>
      <c r="X10" s="30"/>
      <c r="Y10" s="30"/>
      <c r="Z10" s="30"/>
      <c r="AA10" s="30">
        <v>60900.0</v>
      </c>
      <c r="AB10" s="30">
        <v>77700.0</v>
      </c>
      <c r="AC10" s="39">
        <v>16800.0</v>
      </c>
      <c r="AD10" s="43" t="str">
        <f t="shared" si="1"/>
        <v>2026NE000021</v>
      </c>
      <c r="AE10" s="43" t="str">
        <f>IF(AD10="","",IF(COUNTIF($AD$2:$AD$1000,AD10)&gt;1,"DUPLICADO NO TG",IF(COUNTIF('Bolsas e auxílios'!$J$5:$J$1000,AD10)=0,"FORA DO CONTROLE","LOCALIZADO")))</f>
        <v>LOCALIZADO</v>
      </c>
      <c r="AF10" s="43"/>
    </row>
    <row r="11" ht="37.5" customHeight="1">
      <c r="A11" s="25">
        <v>153165.0</v>
      </c>
      <c r="B11" s="25" t="s">
        <v>64</v>
      </c>
      <c r="C11" s="25" t="s">
        <v>64</v>
      </c>
      <c r="D11" s="25" t="s">
        <v>157</v>
      </c>
      <c r="E11" s="25" t="s">
        <v>159</v>
      </c>
      <c r="F11" s="25" t="s">
        <v>96</v>
      </c>
      <c r="G11" s="25">
        <v>230395.0</v>
      </c>
      <c r="H11" s="25" t="s">
        <v>88</v>
      </c>
      <c r="I11" s="25">
        <v>1.0E9</v>
      </c>
      <c r="J11" s="25">
        <v>339018.0</v>
      </c>
      <c r="K11" s="25" t="s">
        <v>76</v>
      </c>
      <c r="L11" s="25">
        <v>157773.0</v>
      </c>
      <c r="M11" s="25" t="s">
        <v>155</v>
      </c>
      <c r="N11" s="25" t="s">
        <v>133</v>
      </c>
      <c r="O11" s="30"/>
      <c r="P11" s="30">
        <v>70000.0</v>
      </c>
      <c r="Q11" s="30">
        <v>70000.0</v>
      </c>
      <c r="R11" s="30">
        <v>70000.0</v>
      </c>
      <c r="S11" s="30">
        <v>70000.0</v>
      </c>
      <c r="T11" s="30">
        <v>70000.0</v>
      </c>
      <c r="U11" s="30">
        <v>70000.0</v>
      </c>
      <c r="V11" s="30">
        <v>0.0</v>
      </c>
      <c r="W11" s="30"/>
      <c r="X11" s="30"/>
      <c r="Y11" s="30"/>
      <c r="Z11" s="30"/>
      <c r="AA11" s="30">
        <v>419300.0</v>
      </c>
      <c r="AB11" s="30">
        <v>420000.0</v>
      </c>
      <c r="AC11" s="39">
        <v>700.0</v>
      </c>
      <c r="AD11" s="43" t="str">
        <f t="shared" si="1"/>
        <v>2026NE000022</v>
      </c>
      <c r="AE11" s="43" t="str">
        <f>IF(AD11="","",IF(COUNTIF($AD$2:$AD$1000,AD11)&gt;1,"DUPLICADO NO TG",IF(COUNTIF('Bolsas e auxílios'!$J$5:$J$1000,AD11)=0,"FORA DO CONTROLE","LOCALIZADO")))</f>
        <v>LOCALIZADO</v>
      </c>
      <c r="AF11" s="43"/>
    </row>
    <row r="12" ht="37.5" customHeight="1">
      <c r="A12" s="25">
        <v>153165.0</v>
      </c>
      <c r="B12" s="25" t="s">
        <v>64</v>
      </c>
      <c r="C12" s="25" t="s">
        <v>64</v>
      </c>
      <c r="D12" s="25" t="s">
        <v>164</v>
      </c>
      <c r="E12" s="25" t="s">
        <v>165</v>
      </c>
      <c r="F12" s="25" t="s">
        <v>96</v>
      </c>
      <c r="G12" s="25">
        <v>230389.0</v>
      </c>
      <c r="H12" s="25" t="s">
        <v>88</v>
      </c>
      <c r="I12" s="25">
        <v>1.0E9</v>
      </c>
      <c r="J12" s="25">
        <v>339018.0</v>
      </c>
      <c r="K12" s="25" t="s">
        <v>76</v>
      </c>
      <c r="L12" s="25">
        <v>157684.0</v>
      </c>
      <c r="M12" s="25" t="s">
        <v>97</v>
      </c>
      <c r="N12" s="25" t="s">
        <v>114</v>
      </c>
      <c r="O12" s="30"/>
      <c r="P12" s="30">
        <v>14870.14</v>
      </c>
      <c r="Q12" s="30">
        <v>12750.82</v>
      </c>
      <c r="R12" s="30">
        <v>5500.53</v>
      </c>
      <c r="S12" s="30">
        <v>143.73</v>
      </c>
      <c r="T12" s="30">
        <v>143.73</v>
      </c>
      <c r="U12" s="30">
        <v>5573.04</v>
      </c>
      <c r="V12" s="30">
        <v>6300.25</v>
      </c>
      <c r="W12" s="30"/>
      <c r="X12" s="30"/>
      <c r="Y12" s="30"/>
      <c r="Z12" s="30"/>
      <c r="AA12" s="30">
        <v>51003.52</v>
      </c>
      <c r="AB12" s="30">
        <v>58250.0</v>
      </c>
      <c r="AC12" s="39">
        <v>7246.48</v>
      </c>
      <c r="AD12" s="43" t="str">
        <f t="shared" si="1"/>
        <v>2026NE000056</v>
      </c>
      <c r="AE12" s="43" t="str">
        <f>IF(AD12="","",IF(COUNTIF($AD$2:$AD$1000,AD12)&gt;1,"DUPLICADO NO TG",IF(COUNTIF('Bolsas e auxílios'!$J$5:$J$1000,AD12)=0,"FORA DO CONTROLE","LOCALIZADO")))</f>
        <v>LOCALIZADO</v>
      </c>
      <c r="AF12" s="43"/>
    </row>
    <row r="13" ht="37.5" customHeight="1">
      <c r="A13" s="25">
        <v>153165.0</v>
      </c>
      <c r="B13" s="25" t="s">
        <v>64</v>
      </c>
      <c r="C13" s="25" t="s">
        <v>64</v>
      </c>
      <c r="D13" s="25" t="s">
        <v>166</v>
      </c>
      <c r="E13" s="25" t="s">
        <v>167</v>
      </c>
      <c r="F13" s="25" t="s">
        <v>96</v>
      </c>
      <c r="G13" s="25">
        <v>230389.0</v>
      </c>
      <c r="H13" s="25" t="s">
        <v>88</v>
      </c>
      <c r="I13" s="25">
        <v>1.0E9</v>
      </c>
      <c r="J13" s="25">
        <v>339018.0</v>
      </c>
      <c r="K13" s="25" t="s">
        <v>76</v>
      </c>
      <c r="L13" s="25">
        <v>157684.0</v>
      </c>
      <c r="M13" s="25" t="s">
        <v>97</v>
      </c>
      <c r="N13" s="25" t="s">
        <v>114</v>
      </c>
      <c r="O13" s="30"/>
      <c r="P13" s="30"/>
      <c r="Q13" s="30"/>
      <c r="R13" s="30">
        <v>21590.0</v>
      </c>
      <c r="S13" s="30">
        <v>31422.0</v>
      </c>
      <c r="T13" s="30">
        <v>31422.0</v>
      </c>
      <c r="U13" s="30">
        <v>7420.0</v>
      </c>
      <c r="V13" s="30">
        <v>0.0</v>
      </c>
      <c r="W13" s="30"/>
      <c r="X13" s="30"/>
      <c r="Y13" s="30"/>
      <c r="Z13" s="30"/>
      <c r="AA13" s="30">
        <v>130277.0</v>
      </c>
      <c r="AB13" s="30">
        <v>217000.0</v>
      </c>
      <c r="AC13" s="39">
        <v>86723.0</v>
      </c>
      <c r="AD13" s="43" t="str">
        <f t="shared" si="1"/>
        <v>2026NE000057</v>
      </c>
      <c r="AE13" s="43" t="str">
        <f>IF(AD13="","",IF(COUNTIF($AD$2:$AD$1000,AD13)&gt;1,"DUPLICADO NO TG",IF(COUNTIF('Bolsas e auxílios'!$J$5:$J$1000,AD13)=0,"FORA DO CONTROLE","LOCALIZADO")))</f>
        <v>LOCALIZADO</v>
      </c>
      <c r="AF13" s="43"/>
    </row>
    <row r="14" ht="37.5" customHeight="1">
      <c r="A14" s="25">
        <v>153165.0</v>
      </c>
      <c r="B14" s="25" t="s">
        <v>64</v>
      </c>
      <c r="C14" s="25" t="s">
        <v>64</v>
      </c>
      <c r="D14" s="25" t="s">
        <v>170</v>
      </c>
      <c r="E14" s="25" t="s">
        <v>171</v>
      </c>
      <c r="F14" s="25" t="s">
        <v>96</v>
      </c>
      <c r="G14" s="25">
        <v>230404.0</v>
      </c>
      <c r="H14" s="25">
        <v>4002.0</v>
      </c>
      <c r="I14" s="25">
        <v>1.0E9</v>
      </c>
      <c r="J14" s="25">
        <v>339018.0</v>
      </c>
      <c r="K14" s="25" t="s">
        <v>76</v>
      </c>
      <c r="L14" s="25">
        <v>157684.0</v>
      </c>
      <c r="M14" s="25" t="s">
        <v>97</v>
      </c>
      <c r="N14" s="25" t="s">
        <v>172</v>
      </c>
      <c r="O14" s="30"/>
      <c r="P14" s="30"/>
      <c r="Q14" s="30">
        <v>3732.0</v>
      </c>
      <c r="R14" s="30">
        <v>3732.0</v>
      </c>
      <c r="S14" s="30">
        <v>3732.0</v>
      </c>
      <c r="T14" s="30">
        <v>3732.0</v>
      </c>
      <c r="U14" s="30">
        <v>3732.0</v>
      </c>
      <c r="V14" s="30">
        <v>0.0</v>
      </c>
      <c r="W14" s="30"/>
      <c r="X14" s="30"/>
      <c r="Y14" s="30"/>
      <c r="Z14" s="30"/>
      <c r="AA14" s="30">
        <v>18660.0</v>
      </c>
      <c r="AB14" s="30">
        <v>18660.0</v>
      </c>
      <c r="AC14" s="39">
        <v>0.0</v>
      </c>
      <c r="AD14" s="43" t="str">
        <f t="shared" si="1"/>
        <v>2026NE000058</v>
      </c>
      <c r="AE14" s="43" t="str">
        <f>IF(AD14="","",IF(COUNTIF($AD$2:$AD$1000,AD14)&gt;1,"DUPLICADO NO TG",IF(COUNTIF('Bolsas e auxílios'!$J$5:$J$1000,AD14)=0,"FORA DO CONTROLE","LOCALIZADO")))</f>
        <v>LOCALIZADO</v>
      </c>
      <c r="AF14" s="43"/>
    </row>
    <row r="15" ht="37.5" customHeight="1">
      <c r="A15" s="25">
        <v>153165.0</v>
      </c>
      <c r="B15" s="25" t="s">
        <v>64</v>
      </c>
      <c r="C15" s="25" t="s">
        <v>64</v>
      </c>
      <c r="D15" s="25" t="s">
        <v>173</v>
      </c>
      <c r="E15" s="25" t="s">
        <v>174</v>
      </c>
      <c r="F15" s="25" t="s">
        <v>96</v>
      </c>
      <c r="G15" s="25">
        <v>230389.0</v>
      </c>
      <c r="H15" s="25" t="s">
        <v>88</v>
      </c>
      <c r="I15" s="25">
        <v>1.0E9</v>
      </c>
      <c r="J15" s="25">
        <v>339018.0</v>
      </c>
      <c r="K15" s="25" t="s">
        <v>76</v>
      </c>
      <c r="L15" s="25">
        <v>157773.0</v>
      </c>
      <c r="M15" s="25" t="s">
        <v>155</v>
      </c>
      <c r="N15" s="25" t="s">
        <v>149</v>
      </c>
      <c r="O15" s="30"/>
      <c r="P15" s="30"/>
      <c r="Q15" s="30"/>
      <c r="R15" s="30"/>
      <c r="S15" s="30">
        <v>0.0</v>
      </c>
      <c r="T15" s="30">
        <v>0.0</v>
      </c>
      <c r="U15" s="30">
        <v>0.0</v>
      </c>
      <c r="V15" s="30">
        <v>0.0</v>
      </c>
      <c r="W15" s="30"/>
      <c r="X15" s="30"/>
      <c r="Y15" s="30"/>
      <c r="Z15" s="30"/>
      <c r="AA15" s="30">
        <v>70000.0</v>
      </c>
      <c r="AB15" s="30">
        <v>70000.0</v>
      </c>
      <c r="AC15" s="39">
        <v>0.0</v>
      </c>
      <c r="AD15" s="43" t="str">
        <f t="shared" si="1"/>
        <v>2026NE000165</v>
      </c>
      <c r="AE15" s="43" t="str">
        <f>IF(AD15="","",IF(COUNTIF($AD$2:$AD$1000,AD15)&gt;1,"DUPLICADO NO TG",IF(COUNTIF('Bolsas e auxílios'!$J$5:$J$1000,AD15)=0,"FORA DO CONTROLE","LOCALIZADO")))</f>
        <v>LOCALIZADO</v>
      </c>
      <c r="AF15" s="43"/>
    </row>
    <row r="16" ht="37.5" customHeight="1">
      <c r="A16" s="25">
        <v>153165.0</v>
      </c>
      <c r="B16" s="25" t="s">
        <v>64</v>
      </c>
      <c r="C16" s="25" t="s">
        <v>64</v>
      </c>
      <c r="D16" s="25" t="s">
        <v>177</v>
      </c>
      <c r="E16" s="25" t="s">
        <v>178</v>
      </c>
      <c r="F16" s="25" t="s">
        <v>179</v>
      </c>
      <c r="G16" s="25">
        <v>230399.0</v>
      </c>
      <c r="H16" s="25" t="s">
        <v>180</v>
      </c>
      <c r="I16" s="25">
        <v>1.0E9</v>
      </c>
      <c r="J16" s="25">
        <v>339018.0</v>
      </c>
      <c r="K16" s="25" t="s">
        <v>76</v>
      </c>
      <c r="L16" s="25">
        <v>157666.0</v>
      </c>
      <c r="M16" s="25" t="s">
        <v>137</v>
      </c>
      <c r="N16" s="25" t="s">
        <v>181</v>
      </c>
      <c r="O16" s="30"/>
      <c r="P16" s="30"/>
      <c r="Q16" s="30"/>
      <c r="R16" s="30">
        <v>3500.0</v>
      </c>
      <c r="S16" s="30">
        <v>3500.0</v>
      </c>
      <c r="T16" s="30">
        <v>3500.0</v>
      </c>
      <c r="U16" s="30">
        <v>3500.0</v>
      </c>
      <c r="V16" s="30">
        <v>0.0</v>
      </c>
      <c r="W16" s="30"/>
      <c r="X16" s="30"/>
      <c r="Y16" s="30"/>
      <c r="Z16" s="30"/>
      <c r="AA16" s="30">
        <v>17500.0</v>
      </c>
      <c r="AB16" s="30">
        <v>17500.0</v>
      </c>
      <c r="AC16" s="39">
        <v>0.0</v>
      </c>
      <c r="AD16" s="43" t="str">
        <f t="shared" si="1"/>
        <v>2026NE000231</v>
      </c>
      <c r="AE16" s="43" t="str">
        <f>IF(AD16="","",IF(COUNTIF($AD$2:$AD$1000,AD16)&gt;1,"DUPLICADO NO TG",IF(COUNTIF('Bolsas e auxílios'!$J$5:$J$1000,AD16)=0,"FORA DO CONTROLE","LOCALIZADO")))</f>
        <v>LOCALIZADO</v>
      </c>
      <c r="AF16" s="43"/>
    </row>
    <row r="17" ht="37.5" customHeight="1">
      <c r="A17" s="25">
        <v>153165.0</v>
      </c>
      <c r="B17" s="25" t="s">
        <v>64</v>
      </c>
      <c r="C17" s="25" t="s">
        <v>64</v>
      </c>
      <c r="D17" s="25" t="s">
        <v>185</v>
      </c>
      <c r="E17" s="25" t="s">
        <v>186</v>
      </c>
      <c r="F17" s="25" t="s">
        <v>179</v>
      </c>
      <c r="G17" s="25">
        <v>230399.0</v>
      </c>
      <c r="H17" s="25" t="s">
        <v>180</v>
      </c>
      <c r="I17" s="25">
        <v>1.0E9</v>
      </c>
      <c r="J17" s="25">
        <v>339018.0</v>
      </c>
      <c r="K17" s="25" t="s">
        <v>76</v>
      </c>
      <c r="L17" s="25">
        <v>157666.0</v>
      </c>
      <c r="M17" s="25" t="s">
        <v>137</v>
      </c>
      <c r="N17" s="25" t="s">
        <v>181</v>
      </c>
      <c r="O17" s="30"/>
      <c r="P17" s="30"/>
      <c r="Q17" s="30"/>
      <c r="R17" s="30">
        <v>1400.0</v>
      </c>
      <c r="S17" s="30">
        <v>2100.0</v>
      </c>
      <c r="T17" s="30">
        <v>2100.0</v>
      </c>
      <c r="U17" s="30">
        <v>2100.0</v>
      </c>
      <c r="V17" s="30">
        <v>0.0</v>
      </c>
      <c r="W17" s="30"/>
      <c r="X17" s="30"/>
      <c r="Y17" s="30"/>
      <c r="Z17" s="30"/>
      <c r="AA17" s="30">
        <v>9800.0</v>
      </c>
      <c r="AB17" s="30">
        <v>11200.0</v>
      </c>
      <c r="AC17" s="39">
        <v>1400.0</v>
      </c>
      <c r="AD17" s="43" t="str">
        <f t="shared" si="1"/>
        <v>2026NE000232</v>
      </c>
      <c r="AE17" s="43" t="str">
        <f>IF(AD17="","",IF(COUNTIF($AD$2:$AD$1000,AD17)&gt;1,"DUPLICADO NO TG",IF(COUNTIF('Bolsas e auxílios'!$J$5:$J$1000,AD17)=0,"FORA DO CONTROLE","LOCALIZADO")))</f>
        <v>LOCALIZADO</v>
      </c>
      <c r="AF17" s="43"/>
    </row>
    <row r="18" ht="37.5" customHeight="1">
      <c r="A18" s="25">
        <v>153165.0</v>
      </c>
      <c r="B18" s="25" t="s">
        <v>64</v>
      </c>
      <c r="C18" s="25" t="s">
        <v>64</v>
      </c>
      <c r="D18" s="25" t="s">
        <v>189</v>
      </c>
      <c r="E18" s="25" t="s">
        <v>132</v>
      </c>
      <c r="F18" s="25" t="s">
        <v>96</v>
      </c>
      <c r="G18" s="25">
        <v>230395.0</v>
      </c>
      <c r="H18" s="25" t="s">
        <v>88</v>
      </c>
      <c r="I18" s="25">
        <v>1.0E9</v>
      </c>
      <c r="J18" s="25">
        <v>339048.0</v>
      </c>
      <c r="K18" s="25" t="s">
        <v>135</v>
      </c>
      <c r="L18" s="25">
        <v>157666.0</v>
      </c>
      <c r="M18" s="25" t="s">
        <v>137</v>
      </c>
      <c r="N18" s="25" t="s">
        <v>133</v>
      </c>
      <c r="O18" s="30"/>
      <c r="P18" s="30"/>
      <c r="Q18" s="30"/>
      <c r="R18" s="30">
        <v>9000.0</v>
      </c>
      <c r="S18" s="30">
        <v>3000.0</v>
      </c>
      <c r="T18" s="30">
        <v>3000.0</v>
      </c>
      <c r="U18" s="30">
        <v>3000.0</v>
      </c>
      <c r="V18" s="30">
        <v>0.0</v>
      </c>
      <c r="W18" s="30"/>
      <c r="X18" s="30"/>
      <c r="Y18" s="30"/>
      <c r="Z18" s="30"/>
      <c r="AA18" s="30">
        <v>18000.0</v>
      </c>
      <c r="AB18" s="30">
        <v>18000.0</v>
      </c>
      <c r="AC18" s="39">
        <v>0.0</v>
      </c>
      <c r="AD18" s="43" t="str">
        <f t="shared" si="1"/>
        <v>2026NE000237</v>
      </c>
      <c r="AE18" s="43" t="str">
        <f>IF(AD18="","",IF(COUNTIF($AD$2:$AD$1000,AD18)&gt;1,"DUPLICADO NO TG",IF(COUNTIF('Bolsas e auxílios'!$J$5:$J$1000,AD18)=0,"FORA DO CONTROLE","LOCALIZADO")))</f>
        <v>LOCALIZADO</v>
      </c>
      <c r="AF18" s="43"/>
    </row>
    <row r="19" ht="37.5" customHeight="1">
      <c r="A19" s="25">
        <v>153165.0</v>
      </c>
      <c r="B19" s="25" t="s">
        <v>64</v>
      </c>
      <c r="C19" s="25" t="s">
        <v>64</v>
      </c>
      <c r="D19" s="25" t="s">
        <v>192</v>
      </c>
      <c r="E19" s="25" t="s">
        <v>193</v>
      </c>
      <c r="F19" s="25" t="s">
        <v>194</v>
      </c>
      <c r="G19" s="25">
        <v>230384.0</v>
      </c>
      <c r="H19" s="25" t="s">
        <v>88</v>
      </c>
      <c r="I19" s="25">
        <v>1.0E9</v>
      </c>
      <c r="J19" s="25">
        <v>339018.0</v>
      </c>
      <c r="K19" s="25" t="s">
        <v>76</v>
      </c>
      <c r="L19" s="25">
        <v>157773.0</v>
      </c>
      <c r="M19" s="25" t="s">
        <v>155</v>
      </c>
      <c r="N19" s="25" t="s">
        <v>133</v>
      </c>
      <c r="O19" s="30"/>
      <c r="P19" s="30"/>
      <c r="Q19" s="30"/>
      <c r="R19" s="30"/>
      <c r="S19" s="30">
        <v>4900.0</v>
      </c>
      <c r="T19" s="30">
        <v>4900.0</v>
      </c>
      <c r="U19" s="30">
        <v>6300.0</v>
      </c>
      <c r="V19" s="30">
        <v>0.0</v>
      </c>
      <c r="W19" s="30"/>
      <c r="X19" s="30"/>
      <c r="Y19" s="30"/>
      <c r="Z19" s="30"/>
      <c r="AA19" s="30">
        <v>16100.0</v>
      </c>
      <c r="AB19" s="30">
        <v>16100.0</v>
      </c>
      <c r="AC19" s="39">
        <v>0.0</v>
      </c>
      <c r="AD19" s="43" t="str">
        <f t="shared" si="1"/>
        <v>2026NE000292</v>
      </c>
      <c r="AE19" s="43" t="str">
        <f>IF(AD19="","",IF(COUNTIF($AD$2:$AD$1000,AD19)&gt;1,"DUPLICADO NO TG",IF(COUNTIF('Bolsas e auxílios'!$J$5:$J$1000,AD19)=0,"FORA DO CONTROLE","LOCALIZADO")))</f>
        <v>LOCALIZADO</v>
      </c>
      <c r="AF19" s="43"/>
    </row>
    <row r="20" ht="37.5" customHeight="1">
      <c r="A20" s="25">
        <v>153165.0</v>
      </c>
      <c r="B20" s="25" t="s">
        <v>64</v>
      </c>
      <c r="C20" s="25" t="s">
        <v>64</v>
      </c>
      <c r="D20" s="25" t="s">
        <v>196</v>
      </c>
      <c r="E20" s="25" t="s">
        <v>197</v>
      </c>
      <c r="F20" s="25" t="s">
        <v>96</v>
      </c>
      <c r="G20" s="25">
        <v>230395.0</v>
      </c>
      <c r="H20" s="25" t="s">
        <v>88</v>
      </c>
      <c r="I20" s="25">
        <v>1.0E9</v>
      </c>
      <c r="J20" s="25">
        <v>339018.0</v>
      </c>
      <c r="K20" s="25" t="s">
        <v>76</v>
      </c>
      <c r="L20" s="25">
        <v>157665.0</v>
      </c>
      <c r="M20" s="25" t="s">
        <v>102</v>
      </c>
      <c r="N20" s="25" t="s">
        <v>103</v>
      </c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>
        <v>3500.0</v>
      </c>
      <c r="AC20" s="77">
        <v>3500.0</v>
      </c>
      <c r="AD20" s="43" t="str">
        <f t="shared" si="1"/>
        <v>2026NE000436</v>
      </c>
      <c r="AE20" s="43" t="str">
        <f>IF(AD20="","",IF(COUNTIF($AD$2:$AD$1000,AD20)&gt;1,"DUPLICADO NO TG",IF(COUNTIF('Bolsas e auxílios'!$J$5:$J$1000,AD20)=0,"FORA DO CONTROLE","LOCALIZADO")))</f>
        <v>FORA DO CONTROLE</v>
      </c>
      <c r="AF20" s="43"/>
    </row>
    <row r="21" ht="15.75" customHeight="1"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9" t="str">
        <f t="shared" si="1"/>
        <v/>
      </c>
      <c r="AE21" s="79" t="str">
        <f>IF(AD21="","",IF(COUNTIF($AD$2:$AD$1000,AD21)&gt;1,"DUPLICADO NO TG",IF(COUNTIF('Bolsas e auxílios'!$J$5:$J$1000,AD21)=0,"FORA DO CONTROLE","LOCALIZADO")))</f>
        <v/>
      </c>
    </row>
    <row r="22" ht="15.75" customHeight="1"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9" t="str">
        <f t="shared" si="1"/>
        <v/>
      </c>
      <c r="AE22" s="79" t="str">
        <f>IF(AD22="","",IF(COUNTIF($AD$2:$AD$1000,AD22)&gt;1,"DUPLICADO NO TG",IF(COUNTIF('Bolsas e auxílios'!$J$5:$J$1000,AD22)=0,"FORA DO CONTROLE","LOCALIZADO")))</f>
        <v/>
      </c>
    </row>
    <row r="23" ht="15.75" customHeight="1"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9" t="str">
        <f t="shared" si="1"/>
        <v/>
      </c>
      <c r="AE23" s="79" t="str">
        <f>IF(AD23="","",IF(COUNTIF($AD$2:$AD$1000,AD23)&gt;1,"DUPLICADO NO TG",IF(COUNTIF('Bolsas e auxílios'!$J$5:$J$1000,AD23)=0,"FORA DO CONTROLE","LOCALIZADO")))</f>
        <v/>
      </c>
    </row>
    <row r="24" ht="15.75" customHeight="1"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9" t="str">
        <f t="shared" si="1"/>
        <v/>
      </c>
      <c r="AE24" s="79" t="str">
        <f>IF(AD24="","",IF(COUNTIF($AD$2:$AD$1000,AD24)&gt;1,"DUPLICADO NO TG",IF(COUNTIF('Bolsas e auxílios'!$J$5:$J$1000,AD24)=0,"FORA DO CONTROLE","LOCALIZADO")))</f>
        <v/>
      </c>
    </row>
    <row r="25" ht="15.75" customHeight="1"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9" t="str">
        <f t="shared" si="1"/>
        <v/>
      </c>
      <c r="AE25" s="79" t="str">
        <f>IF(AD25="","",IF(COUNTIF($AD$2:$AD$1000,AD25)&gt;1,"DUPLICADO NO TG",IF(COUNTIF('Bolsas e auxílios'!$J$5:$J$1000,AD25)=0,"FORA DO CONTROLE","LOCALIZADO")))</f>
        <v/>
      </c>
    </row>
    <row r="26" ht="15.75" customHeight="1"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9" t="str">
        <f t="shared" si="1"/>
        <v/>
      </c>
      <c r="AE26" s="79" t="str">
        <f>IF(AD26="","",IF(COUNTIF($AD$2:$AD$1000,AD26)&gt;1,"DUPLICADO NO TG",IF(COUNTIF('Bolsas e auxílios'!$J$5:$J$1000,AD26)=0,"FORA DO CONTROLE","LOCALIZADO")))</f>
        <v/>
      </c>
    </row>
    <row r="27" ht="15.75" customHeight="1"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9" t="str">
        <f t="shared" si="1"/>
        <v/>
      </c>
      <c r="AE27" s="79" t="str">
        <f>IF(AD27="","",IF(COUNTIF($AD$2:$AD$1000,AD27)&gt;1,"DUPLICADO NO TG",IF(COUNTIF('Bolsas e auxílios'!$J$5:$J$1000,AD27)=0,"FORA DO CONTROLE","LOCALIZADO")))</f>
        <v/>
      </c>
    </row>
    <row r="28" ht="15.75" customHeight="1"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9" t="str">
        <f t="shared" si="1"/>
        <v/>
      </c>
      <c r="AE28" s="79" t="str">
        <f>IF(AD28="","",IF(COUNTIF($AD$2:$AD$1000,AD28)&gt;1,"DUPLICADO NO TG",IF(COUNTIF('Bolsas e auxílios'!$J$5:$J$1000,AD28)=0,"FORA DO CONTROLE","LOCALIZADO")))</f>
        <v/>
      </c>
    </row>
    <row r="29" ht="15.75" customHeight="1"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9" t="str">
        <f t="shared" si="1"/>
        <v/>
      </c>
      <c r="AE29" s="79" t="str">
        <f>IF(AD29="","",IF(COUNTIF($AD$2:$AD$1000,AD29)&gt;1,"DUPLICADO NO TG",IF(COUNTIF('Bolsas e auxílios'!$J$5:$J$1000,AD29)=0,"FORA DO CONTROLE","LOCALIZADO")))</f>
        <v/>
      </c>
    </row>
    <row r="30" ht="15.75" customHeight="1"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9" t="str">
        <f t="shared" si="1"/>
        <v/>
      </c>
      <c r="AE30" s="79" t="str">
        <f>IF(AD30="","",IF(COUNTIF($AD$2:$AD$1000,AD30)&gt;1,"DUPLICADO NO TG",IF(COUNTIF('Bolsas e auxílios'!$J$5:$J$1000,AD30)=0,"FORA DO CONTROLE","LOCALIZADO")))</f>
        <v/>
      </c>
    </row>
    <row r="31" ht="15.75" customHeight="1"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9" t="str">
        <f t="shared" si="1"/>
        <v/>
      </c>
      <c r="AE31" s="79" t="str">
        <f>IF(AD31="","",IF(COUNTIF($AD$2:$AD$1000,AD31)&gt;1,"DUPLICADO NO TG",IF(COUNTIF('Bolsas e auxílios'!$J$5:$J$1000,AD31)=0,"FORA DO CONTROLE","LOCALIZADO")))</f>
        <v/>
      </c>
    </row>
    <row r="32" ht="15.75" customHeight="1"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9" t="str">
        <f t="shared" si="1"/>
        <v/>
      </c>
      <c r="AE32" s="79" t="str">
        <f>IF(AD32="","",IF(COUNTIF($AD$2:$AD$1000,AD32)&gt;1,"DUPLICADO NO TG",IF(COUNTIF('Bolsas e auxílios'!$J$5:$J$1000,AD32)=0,"FORA DO CONTROLE","LOCALIZADO")))</f>
        <v/>
      </c>
    </row>
    <row r="33" ht="15.75" customHeight="1"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9" t="str">
        <f t="shared" si="1"/>
        <v/>
      </c>
      <c r="AE33" s="79" t="str">
        <f>IF(AD33="","",IF(COUNTIF($AD$2:$AD$1000,AD33)&gt;1,"DUPLICADO NO TG",IF(COUNTIF('Bolsas e auxílios'!$J$5:$J$1000,AD33)=0,"FORA DO CONTROLE","LOCALIZADO")))</f>
        <v/>
      </c>
    </row>
    <row r="34" ht="15.75" customHeight="1"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9" t="str">
        <f t="shared" si="1"/>
        <v/>
      </c>
      <c r="AE34" s="79" t="str">
        <f>IF(AD34="","",IF(COUNTIF($AD$2:$AD$1000,AD34)&gt;1,"DUPLICADO NO TG",IF(COUNTIF('Bolsas e auxílios'!$J$5:$J$1000,AD34)=0,"FORA DO CONTROLE","LOCALIZADO")))</f>
        <v/>
      </c>
    </row>
    <row r="35" ht="15.75" customHeight="1"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9" t="str">
        <f t="shared" si="1"/>
        <v/>
      </c>
      <c r="AE35" s="79" t="str">
        <f>IF(AD35="","",IF(COUNTIF($AD$2:$AD$1000,AD35)&gt;1,"DUPLICADO NO TG",IF(COUNTIF('Bolsas e auxílios'!$J$5:$J$1000,AD35)=0,"FORA DO CONTROLE","LOCALIZADO")))</f>
        <v/>
      </c>
    </row>
    <row r="36" ht="15.75" customHeight="1"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9" t="str">
        <f t="shared" si="1"/>
        <v/>
      </c>
      <c r="AE36" s="79" t="str">
        <f>IF(AD36="","",IF(COUNTIF($AD$2:$AD$1000,AD36)&gt;1,"DUPLICADO NO TG",IF(COUNTIF('Bolsas e auxílios'!$J$5:$J$1000,AD36)=0,"FORA DO CONTROLE","LOCALIZADO")))</f>
        <v/>
      </c>
    </row>
    <row r="37" ht="15.75" customHeight="1"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9" t="str">
        <f t="shared" si="1"/>
        <v/>
      </c>
      <c r="AE37" s="79" t="str">
        <f>IF(AD37="","",IF(COUNTIF($AD$2:$AD$1000,AD37)&gt;1,"DUPLICADO NO TG",IF(COUNTIF('Bolsas e auxílios'!$J$5:$J$1000,AD37)=0,"FORA DO CONTROLE","LOCALIZADO")))</f>
        <v/>
      </c>
    </row>
    <row r="38" ht="15.75" customHeight="1"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9" t="str">
        <f t="shared" si="1"/>
        <v/>
      </c>
      <c r="AE38" s="79" t="str">
        <f>IF(AD38="","",IF(COUNTIF($AD$2:$AD$1000,AD38)&gt;1,"DUPLICADO NO TG",IF(COUNTIF('Bolsas e auxílios'!$J$5:$J$1000,AD38)=0,"FORA DO CONTROLE","LOCALIZADO")))</f>
        <v/>
      </c>
    </row>
    <row r="39" ht="15.75" customHeight="1"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9" t="str">
        <f t="shared" si="1"/>
        <v/>
      </c>
      <c r="AE39" s="79" t="str">
        <f>IF(AD39="","",IF(COUNTIF($AD$2:$AD$1000,AD39)&gt;1,"DUPLICADO NO TG",IF(COUNTIF('Bolsas e auxílios'!$J$5:$J$1000,AD39)=0,"FORA DO CONTROLE","LOCALIZADO")))</f>
        <v/>
      </c>
    </row>
    <row r="40" ht="15.75" customHeight="1"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9" t="str">
        <f t="shared" si="1"/>
        <v/>
      </c>
      <c r="AE40" s="79" t="str">
        <f>IF(AD40="","",IF(COUNTIF($AD$2:$AD$1000,AD40)&gt;1,"DUPLICADO NO TG",IF(COUNTIF('Bolsas e auxílios'!$J$5:$J$1000,AD40)=0,"FORA DO CONTROLE","LOCALIZADO")))</f>
        <v/>
      </c>
    </row>
    <row r="41" ht="15.75" customHeight="1"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9" t="str">
        <f t="shared" si="1"/>
        <v/>
      </c>
      <c r="AE41" s="79" t="str">
        <f>IF(AD41="","",IF(COUNTIF($AD$2:$AD$1000,AD41)&gt;1,"DUPLICADO NO TG",IF(COUNTIF('Bolsas e auxílios'!$J$5:$J$1000,AD41)=0,"FORA DO CONTROLE","LOCALIZADO")))</f>
        <v/>
      </c>
    </row>
    <row r="42" ht="15.75" customHeight="1"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9" t="str">
        <f t="shared" si="1"/>
        <v/>
      </c>
      <c r="AE42" s="79" t="str">
        <f>IF(AD42="","",IF(COUNTIF($AD$2:$AD$1000,AD42)&gt;1,"DUPLICADO NO TG",IF(COUNTIF('Bolsas e auxílios'!$J$5:$J$1000,AD42)=0,"FORA DO CONTROLE","LOCALIZADO")))</f>
        <v/>
      </c>
    </row>
    <row r="43" ht="15.75" customHeight="1"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9" t="str">
        <f t="shared" si="1"/>
        <v/>
      </c>
      <c r="AE43" s="79" t="str">
        <f>IF(AD43="","",IF(COUNTIF($AD$2:$AD$1000,AD43)&gt;1,"DUPLICADO NO TG",IF(COUNTIF('Bolsas e auxílios'!$J$5:$J$1000,AD43)=0,"FORA DO CONTROLE","LOCALIZADO")))</f>
        <v/>
      </c>
    </row>
    <row r="44" ht="15.75" customHeight="1"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9" t="str">
        <f t="shared" si="1"/>
        <v/>
      </c>
      <c r="AE44" s="79" t="str">
        <f>IF(AD44="","",IF(COUNTIF($AD$2:$AD$1000,AD44)&gt;1,"DUPLICADO NO TG",IF(COUNTIF('Bolsas e auxílios'!$J$5:$J$1000,AD44)=0,"FORA DO CONTROLE","LOCALIZADO")))</f>
        <v/>
      </c>
    </row>
    <row r="45" ht="15.75" customHeight="1"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9" t="str">
        <f t="shared" si="1"/>
        <v/>
      </c>
      <c r="AE45" s="79" t="str">
        <f>IF(AD45="","",IF(COUNTIF($AD$2:$AD$1000,AD45)&gt;1,"DUPLICADO NO TG",IF(COUNTIF('Bolsas e auxílios'!$J$5:$J$1000,AD45)=0,"FORA DO CONTROLE","LOCALIZADO")))</f>
        <v/>
      </c>
    </row>
    <row r="46" ht="15.75" customHeight="1"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9" t="str">
        <f t="shared" si="1"/>
        <v/>
      </c>
      <c r="AE46" s="79" t="str">
        <f>IF(AD46="","",IF(COUNTIF($AD$2:$AD$1000,AD46)&gt;1,"DUPLICADO NO TG",IF(COUNTIF('Bolsas e auxílios'!$J$5:$J$1000,AD46)=0,"FORA DO CONTROLE","LOCALIZADO")))</f>
        <v/>
      </c>
    </row>
    <row r="47" ht="15.75" customHeight="1"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9" t="str">
        <f t="shared" si="1"/>
        <v/>
      </c>
      <c r="AE47" s="79" t="str">
        <f>IF(AD47="","",IF(COUNTIF($AD$2:$AD$1000,AD47)&gt;1,"DUPLICADO NO TG",IF(COUNTIF('Bolsas e auxílios'!$J$5:$J$1000,AD47)=0,"FORA DO CONTROLE","LOCALIZADO")))</f>
        <v/>
      </c>
    </row>
    <row r="48" ht="15.75" customHeight="1"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9" t="str">
        <f t="shared" si="1"/>
        <v/>
      </c>
      <c r="AE48" s="79" t="str">
        <f>IF(AD48="","",IF(COUNTIF($AD$2:$AD$1000,AD48)&gt;1,"DUPLICADO NO TG",IF(COUNTIF('Bolsas e auxílios'!$J$5:$J$1000,AD48)=0,"FORA DO CONTROLE","LOCALIZADO")))</f>
        <v/>
      </c>
    </row>
    <row r="49" ht="15.75" customHeight="1"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9" t="str">
        <f t="shared" si="1"/>
        <v/>
      </c>
      <c r="AE49" s="79" t="str">
        <f>IF(AD49="","",IF(COUNTIF($AD$2:$AD$1000,AD49)&gt;1,"DUPLICADO NO TG",IF(COUNTIF('Bolsas e auxílios'!$J$5:$J$1000,AD49)=0,"FORA DO CONTROLE","LOCALIZADO")))</f>
        <v/>
      </c>
    </row>
    <row r="50" ht="15.75" customHeight="1"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9" t="str">
        <f t="shared" si="1"/>
        <v/>
      </c>
      <c r="AE50" s="79" t="str">
        <f>IF(AD50="","",IF(COUNTIF($AD$2:$AD$1000,AD50)&gt;1,"DUPLICADO NO TG",IF(COUNTIF('Bolsas e auxílios'!$J$5:$J$1000,AD50)=0,"FORA DO CONTROLE","LOCALIZADO")))</f>
        <v/>
      </c>
    </row>
    <row r="51" ht="15.75" customHeight="1"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9" t="str">
        <f t="shared" si="1"/>
        <v/>
      </c>
      <c r="AE51" s="79" t="str">
        <f>IF(AD51="","",IF(COUNTIF($AD$2:$AD$1000,AD51)&gt;1,"DUPLICADO NO TG",IF(COUNTIF('Bolsas e auxílios'!$J$5:$J$1000,AD51)=0,"FORA DO CONTROLE","LOCALIZADO")))</f>
        <v/>
      </c>
    </row>
    <row r="52" ht="15.75" customHeight="1"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9" t="str">
        <f t="shared" si="1"/>
        <v/>
      </c>
      <c r="AE52" s="79" t="str">
        <f>IF(AD52="","",IF(COUNTIF($AD$2:$AD$1000,AD52)&gt;1,"DUPLICADO NO TG",IF(COUNTIF('Bolsas e auxílios'!$J$5:$J$1000,AD52)=0,"FORA DO CONTROLE","LOCALIZADO")))</f>
        <v/>
      </c>
    </row>
    <row r="53" ht="15.75" customHeight="1"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9" t="str">
        <f t="shared" si="1"/>
        <v/>
      </c>
      <c r="AE53" s="79" t="str">
        <f>IF(AD53="","",IF(COUNTIF($AD$2:$AD$1000,AD53)&gt;1,"DUPLICADO NO TG",IF(COUNTIF('Bolsas e auxílios'!$J$5:$J$1000,AD53)=0,"FORA DO CONTROLE","LOCALIZADO")))</f>
        <v/>
      </c>
    </row>
    <row r="54" ht="15.75" customHeight="1"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9" t="str">
        <f t="shared" si="1"/>
        <v/>
      </c>
      <c r="AE54" s="79" t="str">
        <f>IF(AD54="","",IF(COUNTIF($AD$2:$AD$1000,AD54)&gt;1,"DUPLICADO NO TG",IF(COUNTIF('Bolsas e auxílios'!$J$5:$J$1000,AD54)=0,"FORA DO CONTROLE","LOCALIZADO")))</f>
        <v/>
      </c>
    </row>
    <row r="55" ht="15.75" customHeight="1"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9" t="str">
        <f t="shared" si="1"/>
        <v/>
      </c>
      <c r="AE55" s="79" t="str">
        <f>IF(AD55="","",IF(COUNTIF($AD$2:$AD$1000,AD55)&gt;1,"DUPLICADO NO TG",IF(COUNTIF('Bolsas e auxílios'!$J$5:$J$1000,AD55)=0,"FORA DO CONTROLE","LOCALIZADO")))</f>
        <v/>
      </c>
    </row>
    <row r="56" ht="15.75" customHeight="1"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9" t="str">
        <f t="shared" si="1"/>
        <v/>
      </c>
      <c r="AE56" s="79" t="str">
        <f>IF(AD56="","",IF(COUNTIF($AD$2:$AD$1000,AD56)&gt;1,"DUPLICADO NO TG",IF(COUNTIF('Bolsas e auxílios'!$J$5:$J$1000,AD56)=0,"FORA DO CONTROLE","LOCALIZADO")))</f>
        <v/>
      </c>
    </row>
    <row r="57" ht="15.75" customHeight="1"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9" t="str">
        <f t="shared" si="1"/>
        <v/>
      </c>
      <c r="AE57" s="79" t="str">
        <f>IF(AD57="","",IF(COUNTIF($AD$2:$AD$1000,AD57)&gt;1,"DUPLICADO NO TG",IF(COUNTIF('Bolsas e auxílios'!$J$5:$J$1000,AD57)=0,"FORA DO CONTROLE","LOCALIZADO")))</f>
        <v/>
      </c>
    </row>
    <row r="58" ht="15.75" customHeight="1"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9" t="str">
        <f t="shared" si="1"/>
        <v/>
      </c>
      <c r="AE58" s="79" t="str">
        <f>IF(AD58="","",IF(COUNTIF($AD$2:$AD$1000,AD58)&gt;1,"DUPLICADO NO TG",IF(COUNTIF('Bolsas e auxílios'!$J$5:$J$1000,AD58)=0,"FORA DO CONTROLE","LOCALIZADO")))</f>
        <v/>
      </c>
    </row>
    <row r="59" ht="15.75" customHeight="1"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9" t="str">
        <f t="shared" si="1"/>
        <v/>
      </c>
      <c r="AE59" s="79" t="str">
        <f>IF(AD59="","",IF(COUNTIF($AD$2:$AD$1000,AD59)&gt;1,"DUPLICADO NO TG",IF(COUNTIF('Bolsas e auxílios'!$J$5:$J$1000,AD59)=0,"FORA DO CONTROLE","LOCALIZADO")))</f>
        <v/>
      </c>
    </row>
    <row r="60" ht="15.75" customHeight="1"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9" t="str">
        <f t="shared" si="1"/>
        <v/>
      </c>
      <c r="AE60" s="79" t="str">
        <f>IF(AD60="","",IF(COUNTIF($AD$2:$AD$1000,AD60)&gt;1,"DUPLICADO NO TG",IF(COUNTIF('Bolsas e auxílios'!$J$5:$J$1000,AD60)=0,"FORA DO CONTROLE","LOCALIZADO")))</f>
        <v/>
      </c>
    </row>
    <row r="61" ht="15.75" customHeight="1"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9" t="str">
        <f t="shared" si="1"/>
        <v/>
      </c>
      <c r="AE61" s="79" t="str">
        <f>IF(AD61="","",IF(COUNTIF($AD$2:$AD$1000,AD61)&gt;1,"DUPLICADO NO TG",IF(COUNTIF('Bolsas e auxílios'!$J$5:$J$1000,AD61)=0,"FORA DO CONTROLE","LOCALIZADO")))</f>
        <v/>
      </c>
    </row>
    <row r="62" ht="15.75" customHeight="1"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9" t="str">
        <f t="shared" si="1"/>
        <v/>
      </c>
      <c r="AE62" s="79" t="str">
        <f>IF(AD62="","",IF(COUNTIF($AD$2:$AD$1000,AD62)&gt;1,"DUPLICADO NO TG",IF(COUNTIF('Bolsas e auxílios'!$J$5:$J$1000,AD62)=0,"FORA DO CONTROLE","LOCALIZADO")))</f>
        <v/>
      </c>
    </row>
    <row r="63" ht="15.75" customHeight="1"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9" t="str">
        <f t="shared" si="1"/>
        <v/>
      </c>
      <c r="AE63" s="79" t="str">
        <f>IF(AD63="","",IF(COUNTIF($AD$2:$AD$1000,AD63)&gt;1,"DUPLICADO NO TG",IF(COUNTIF('Bolsas e auxílios'!$J$5:$J$1000,AD63)=0,"FORA DO CONTROLE","LOCALIZADO")))</f>
        <v/>
      </c>
    </row>
    <row r="64" ht="15.75" customHeight="1"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9" t="str">
        <f t="shared" si="1"/>
        <v/>
      </c>
      <c r="AE64" s="79" t="str">
        <f>IF(AD64="","",IF(COUNTIF($AD$2:$AD$1000,AD64)&gt;1,"DUPLICADO NO TG",IF(COUNTIF('Bolsas e auxílios'!$J$5:$J$1000,AD64)=0,"FORA DO CONTROLE","LOCALIZADO")))</f>
        <v/>
      </c>
    </row>
    <row r="65" ht="15.75" customHeight="1"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9" t="str">
        <f t="shared" si="1"/>
        <v/>
      </c>
      <c r="AE65" s="79" t="str">
        <f>IF(AD65="","",IF(COUNTIF($AD$2:$AD$1000,AD65)&gt;1,"DUPLICADO NO TG",IF(COUNTIF('Bolsas e auxílios'!$J$5:$J$1000,AD65)=0,"FORA DO CONTROLE","LOCALIZADO")))</f>
        <v/>
      </c>
    </row>
    <row r="66" ht="15.75" customHeight="1"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9" t="str">
        <f t="shared" si="1"/>
        <v/>
      </c>
      <c r="AE66" s="79" t="str">
        <f>IF(AD66="","",IF(COUNTIF($AD$2:$AD$1000,AD66)&gt;1,"DUPLICADO NO TG",IF(COUNTIF('Bolsas e auxílios'!$J$5:$J$1000,AD66)=0,"FORA DO CONTROLE","LOCALIZADO")))</f>
        <v/>
      </c>
    </row>
    <row r="67" ht="15.75" customHeight="1"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9" t="str">
        <f t="shared" si="1"/>
        <v/>
      </c>
      <c r="AE67" s="79" t="str">
        <f>IF(AD67="","",IF(COUNTIF($AD$2:$AD$1000,AD67)&gt;1,"DUPLICADO NO TG",IF(COUNTIF('Bolsas e auxílios'!$J$5:$J$1000,AD67)=0,"FORA DO CONTROLE","LOCALIZADO")))</f>
        <v/>
      </c>
    </row>
    <row r="68" ht="15.75" customHeight="1"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9" t="str">
        <f t="shared" si="1"/>
        <v/>
      </c>
      <c r="AE68" s="79" t="str">
        <f>IF(AD68="","",IF(COUNTIF($AD$2:$AD$1000,AD68)&gt;1,"DUPLICADO NO TG",IF(COUNTIF('Bolsas e auxílios'!$J$5:$J$1000,AD68)=0,"FORA DO CONTROLE","LOCALIZADO")))</f>
        <v/>
      </c>
    </row>
    <row r="69" ht="15.75" customHeight="1"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9" t="str">
        <f t="shared" si="1"/>
        <v/>
      </c>
      <c r="AE69" s="79" t="str">
        <f>IF(AD69="","",IF(COUNTIF($AD$2:$AD$1000,AD69)&gt;1,"DUPLICADO NO TG",IF(COUNTIF('Bolsas e auxílios'!$J$5:$J$1000,AD69)=0,"FORA DO CONTROLE","LOCALIZADO")))</f>
        <v/>
      </c>
    </row>
    <row r="70" ht="15.75" customHeight="1"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9" t="str">
        <f t="shared" si="1"/>
        <v/>
      </c>
      <c r="AE70" s="79" t="str">
        <f>IF(AD70="","",IF(COUNTIF($AD$2:$AD$1000,AD70)&gt;1,"DUPLICADO NO TG",IF(COUNTIF('Bolsas e auxílios'!$J$5:$J$1000,AD70)=0,"FORA DO CONTROLE","LOCALIZADO")))</f>
        <v/>
      </c>
    </row>
    <row r="71" ht="15.75" customHeight="1"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9" t="str">
        <f t="shared" si="1"/>
        <v/>
      </c>
      <c r="AE71" s="79" t="str">
        <f>IF(AD71="","",IF(COUNTIF($AD$2:$AD$1000,AD71)&gt;1,"DUPLICADO NO TG",IF(COUNTIF('Bolsas e auxílios'!$J$5:$J$1000,AD71)=0,"FORA DO CONTROLE","LOCALIZADO")))</f>
        <v/>
      </c>
    </row>
    <row r="72" ht="15.75" customHeight="1"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9" t="str">
        <f t="shared" si="1"/>
        <v/>
      </c>
      <c r="AE72" s="79" t="str">
        <f>IF(AD72="","",IF(COUNTIF($AD$2:$AD$1000,AD72)&gt;1,"DUPLICADO NO TG",IF(COUNTIF('Bolsas e auxílios'!$J$5:$J$1000,AD72)=0,"FORA DO CONTROLE","LOCALIZADO")))</f>
        <v/>
      </c>
    </row>
    <row r="73" ht="15.75" customHeight="1"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9" t="str">
        <f t="shared" si="1"/>
        <v/>
      </c>
      <c r="AE73" s="79" t="str">
        <f>IF(AD73="","",IF(COUNTIF($AD$2:$AD$1000,AD73)&gt;1,"DUPLICADO NO TG",IF(COUNTIF('Bolsas e auxílios'!$J$5:$J$1000,AD73)=0,"FORA DO CONTROLE","LOCALIZADO")))</f>
        <v/>
      </c>
    </row>
    <row r="74" ht="15.75" customHeight="1"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9" t="str">
        <f t="shared" si="1"/>
        <v/>
      </c>
      <c r="AE74" s="79" t="str">
        <f>IF(AD74="","",IF(COUNTIF($AD$2:$AD$1000,AD74)&gt;1,"DUPLICADO NO TG",IF(COUNTIF('Bolsas e auxílios'!$J$5:$J$1000,AD74)=0,"FORA DO CONTROLE","LOCALIZADO")))</f>
        <v/>
      </c>
    </row>
    <row r="75" ht="15.75" customHeight="1"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9" t="str">
        <f t="shared" si="1"/>
        <v/>
      </c>
      <c r="AE75" s="79" t="str">
        <f>IF(AD75="","",IF(COUNTIF($AD$2:$AD$1000,AD75)&gt;1,"DUPLICADO NO TG",IF(COUNTIF('Bolsas e auxílios'!$J$5:$J$1000,AD75)=0,"FORA DO CONTROLE","LOCALIZADO")))</f>
        <v/>
      </c>
    </row>
    <row r="76" ht="15.75" customHeight="1"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9" t="str">
        <f t="shared" si="1"/>
        <v/>
      </c>
      <c r="AE76" s="79" t="str">
        <f>IF(AD76="","",IF(COUNTIF($AD$2:$AD$1000,AD76)&gt;1,"DUPLICADO NO TG",IF(COUNTIF('Bolsas e auxílios'!$J$5:$J$1000,AD76)=0,"FORA DO CONTROLE","LOCALIZADO")))</f>
        <v/>
      </c>
    </row>
    <row r="77" ht="15.75" customHeight="1"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9" t="str">
        <f t="shared" si="1"/>
        <v/>
      </c>
      <c r="AE77" s="79" t="str">
        <f>IF(AD77="","",IF(COUNTIF($AD$2:$AD$1000,AD77)&gt;1,"DUPLICADO NO TG",IF(COUNTIF('Bolsas e auxílios'!$J$5:$J$1000,AD77)=0,"FORA DO CONTROLE","LOCALIZADO")))</f>
        <v/>
      </c>
    </row>
    <row r="78" ht="15.75" customHeight="1"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9" t="str">
        <f t="shared" si="1"/>
        <v/>
      </c>
      <c r="AE78" s="79" t="str">
        <f>IF(AD78="","",IF(COUNTIF($AD$2:$AD$1000,AD78)&gt;1,"DUPLICADO NO TG",IF(COUNTIF('Bolsas e auxílios'!$J$5:$J$1000,AD78)=0,"FORA DO CONTROLE","LOCALIZADO")))</f>
        <v/>
      </c>
    </row>
    <row r="79" ht="15.75" customHeight="1"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9" t="str">
        <f t="shared" si="1"/>
        <v/>
      </c>
      <c r="AE79" s="79" t="str">
        <f>IF(AD79="","",IF(COUNTIF($AD$2:$AD$1000,AD79)&gt;1,"DUPLICADO NO TG",IF(COUNTIF('Bolsas e auxílios'!$J$5:$J$1000,AD79)=0,"FORA DO CONTROLE","LOCALIZADO")))</f>
        <v/>
      </c>
    </row>
    <row r="80" ht="15.75" customHeight="1"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9" t="str">
        <f t="shared" si="1"/>
        <v/>
      </c>
      <c r="AE80" s="79" t="str">
        <f>IF(AD80="","",IF(COUNTIF($AD$2:$AD$1000,AD80)&gt;1,"DUPLICADO NO TG",IF(COUNTIF('Bolsas e auxílios'!$J$5:$J$1000,AD80)=0,"FORA DO CONTROLE","LOCALIZADO")))</f>
        <v/>
      </c>
    </row>
    <row r="81" ht="15.75" customHeight="1"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9" t="str">
        <f t="shared" si="1"/>
        <v/>
      </c>
      <c r="AE81" s="79" t="str">
        <f>IF(AD81="","",IF(COUNTIF($AD$2:$AD$1000,AD81)&gt;1,"DUPLICADO NO TG",IF(COUNTIF('Bolsas e auxílios'!$J$5:$J$1000,AD81)=0,"FORA DO CONTROLE","LOCALIZADO")))</f>
        <v/>
      </c>
    </row>
    <row r="82" ht="15.75" customHeight="1"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9" t="str">
        <f t="shared" si="1"/>
        <v/>
      </c>
      <c r="AE82" s="79" t="str">
        <f>IF(AD82="","",IF(COUNTIF($AD$2:$AD$1000,AD82)&gt;1,"DUPLICADO NO TG",IF(COUNTIF('Bolsas e auxílios'!$J$5:$J$1000,AD82)=0,"FORA DO CONTROLE","LOCALIZADO")))</f>
        <v/>
      </c>
    </row>
    <row r="83" ht="15.75" customHeight="1"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9" t="str">
        <f t="shared" si="1"/>
        <v/>
      </c>
      <c r="AE83" s="79" t="str">
        <f>IF(AD83="","",IF(COUNTIF($AD$2:$AD$1000,AD83)&gt;1,"DUPLICADO NO TG",IF(COUNTIF('Bolsas e auxílios'!$J$5:$J$1000,AD83)=0,"FORA DO CONTROLE","LOCALIZADO")))</f>
        <v/>
      </c>
    </row>
    <row r="84" ht="15.75" customHeight="1"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9" t="str">
        <f t="shared" si="1"/>
        <v/>
      </c>
      <c r="AE84" s="79" t="str">
        <f>IF(AD84="","",IF(COUNTIF($AD$2:$AD$1000,AD84)&gt;1,"DUPLICADO NO TG",IF(COUNTIF('Bolsas e auxílios'!$J$5:$J$1000,AD84)=0,"FORA DO CONTROLE","LOCALIZADO")))</f>
        <v/>
      </c>
    </row>
    <row r="85" ht="15.75" customHeight="1"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9" t="str">
        <f t="shared" si="1"/>
        <v/>
      </c>
      <c r="AE85" s="79" t="str">
        <f>IF(AD85="","",IF(COUNTIF($AD$2:$AD$1000,AD85)&gt;1,"DUPLICADO NO TG",IF(COUNTIF('Bolsas e auxílios'!$J$5:$J$1000,AD85)=0,"FORA DO CONTROLE","LOCALIZADO")))</f>
        <v/>
      </c>
    </row>
    <row r="86" ht="15.75" customHeight="1"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9" t="str">
        <f t="shared" si="1"/>
        <v/>
      </c>
      <c r="AE86" s="79" t="str">
        <f>IF(AD86="","",IF(COUNTIF($AD$2:$AD$1000,AD86)&gt;1,"DUPLICADO NO TG",IF(COUNTIF('Bolsas e auxílios'!$J$5:$J$1000,AD86)=0,"FORA DO CONTROLE","LOCALIZADO")))</f>
        <v/>
      </c>
    </row>
    <row r="87" ht="15.75" customHeight="1"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9" t="str">
        <f t="shared" si="1"/>
        <v/>
      </c>
      <c r="AE87" s="79" t="str">
        <f>IF(AD87="","",IF(COUNTIF($AD$2:$AD$1000,AD87)&gt;1,"DUPLICADO NO TG",IF(COUNTIF('Bolsas e auxílios'!$J$5:$J$1000,AD87)=0,"FORA DO CONTROLE","LOCALIZADO")))</f>
        <v/>
      </c>
    </row>
    <row r="88" ht="15.75" customHeight="1"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9" t="str">
        <f t="shared" si="1"/>
        <v/>
      </c>
      <c r="AE88" s="79" t="str">
        <f>IF(AD88="","",IF(COUNTIF($AD$2:$AD$1000,AD88)&gt;1,"DUPLICADO NO TG",IF(COUNTIF('Bolsas e auxílios'!$J$5:$J$1000,AD88)=0,"FORA DO CONTROLE","LOCALIZADO")))</f>
        <v/>
      </c>
    </row>
    <row r="89" ht="15.75" customHeight="1"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9" t="str">
        <f t="shared" si="1"/>
        <v/>
      </c>
      <c r="AE89" s="79" t="str">
        <f>IF(AD89="","",IF(COUNTIF($AD$2:$AD$1000,AD89)&gt;1,"DUPLICADO NO TG",IF(COUNTIF('Bolsas e auxílios'!$J$5:$J$1000,AD89)=0,"FORA DO CONTROLE","LOCALIZADO")))</f>
        <v/>
      </c>
    </row>
    <row r="90" ht="15.75" customHeight="1"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9" t="str">
        <f t="shared" si="1"/>
        <v/>
      </c>
      <c r="AE90" s="79" t="str">
        <f>IF(AD90="","",IF(COUNTIF($AD$2:$AD$1000,AD90)&gt;1,"DUPLICADO NO TG",IF(COUNTIF('Bolsas e auxílios'!$J$5:$J$1000,AD90)=0,"FORA DO CONTROLE","LOCALIZADO")))</f>
        <v/>
      </c>
    </row>
    <row r="91" ht="15.75" customHeight="1"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9" t="str">
        <f t="shared" si="1"/>
        <v/>
      </c>
      <c r="AE91" s="79" t="str">
        <f>IF(AD91="","",IF(COUNTIF($AD$2:$AD$1000,AD91)&gt;1,"DUPLICADO NO TG",IF(COUNTIF('Bolsas e auxílios'!$J$5:$J$1000,AD91)=0,"FORA DO CONTROLE","LOCALIZADO")))</f>
        <v/>
      </c>
    </row>
    <row r="92" ht="15.75" customHeight="1"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9" t="str">
        <f t="shared" si="1"/>
        <v/>
      </c>
      <c r="AE92" s="79" t="str">
        <f>IF(AD92="","",IF(COUNTIF($AD$2:$AD$1000,AD92)&gt;1,"DUPLICADO NO TG",IF(COUNTIF('Bolsas e auxílios'!$J$5:$J$1000,AD92)=0,"FORA DO CONTROLE","LOCALIZADO")))</f>
        <v/>
      </c>
    </row>
    <row r="93" ht="15.75" customHeight="1"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9" t="str">
        <f t="shared" si="1"/>
        <v/>
      </c>
      <c r="AE93" s="79" t="str">
        <f>IF(AD93="","",IF(COUNTIF($AD$2:$AD$1000,AD93)&gt;1,"DUPLICADO NO TG",IF(COUNTIF('Bolsas e auxílios'!$J$5:$J$1000,AD93)=0,"FORA DO CONTROLE","LOCALIZADO")))</f>
        <v/>
      </c>
    </row>
    <row r="94" ht="15.75" customHeight="1"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9" t="str">
        <f t="shared" si="1"/>
        <v/>
      </c>
      <c r="AE94" s="79" t="str">
        <f>IF(AD94="","",IF(COUNTIF($AD$2:$AD$1000,AD94)&gt;1,"DUPLICADO NO TG",IF(COUNTIF('Bolsas e auxílios'!$J$5:$J$1000,AD94)=0,"FORA DO CONTROLE","LOCALIZADO")))</f>
        <v/>
      </c>
    </row>
    <row r="95" ht="15.75" customHeight="1"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9" t="str">
        <f t="shared" si="1"/>
        <v/>
      </c>
      <c r="AE95" s="79" t="str">
        <f>IF(AD95="","",IF(COUNTIF($AD$2:$AD$1000,AD95)&gt;1,"DUPLICADO NO TG",IF(COUNTIF('Bolsas e auxílios'!$J$5:$J$1000,AD95)=0,"FORA DO CONTROLE","LOCALIZADO")))</f>
        <v/>
      </c>
    </row>
    <row r="96" ht="15.75" customHeight="1"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9" t="str">
        <f t="shared" si="1"/>
        <v/>
      </c>
      <c r="AE96" s="79" t="str">
        <f>IF(AD96="","",IF(COUNTIF($AD$2:$AD$1000,AD96)&gt;1,"DUPLICADO NO TG",IF(COUNTIF('Bolsas e auxílios'!$J$5:$J$1000,AD96)=0,"FORA DO CONTROLE","LOCALIZADO")))</f>
        <v/>
      </c>
    </row>
    <row r="97" ht="15.75" customHeight="1"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9" t="str">
        <f t="shared" si="1"/>
        <v/>
      </c>
      <c r="AE97" s="79" t="str">
        <f>IF(AD97="","",IF(COUNTIF($AD$2:$AD$1000,AD97)&gt;1,"DUPLICADO NO TG",IF(COUNTIF('Bolsas e auxílios'!$J$5:$J$1000,AD97)=0,"FORA DO CONTROLE","LOCALIZADO")))</f>
        <v/>
      </c>
    </row>
    <row r="98" ht="15.75" customHeight="1"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9" t="str">
        <f t="shared" si="1"/>
        <v/>
      </c>
      <c r="AE98" s="79" t="str">
        <f>IF(AD98="","",IF(COUNTIF($AD$2:$AD$1000,AD98)&gt;1,"DUPLICADO NO TG",IF(COUNTIF('Bolsas e auxílios'!$J$5:$J$1000,AD98)=0,"FORA DO CONTROLE","LOCALIZADO")))</f>
        <v/>
      </c>
    </row>
    <row r="99" ht="15.75" customHeight="1"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9" t="str">
        <f t="shared" si="1"/>
        <v/>
      </c>
      <c r="AE99" s="79" t="str">
        <f>IF(AD99="","",IF(COUNTIF($AD$2:$AD$1000,AD99)&gt;1,"DUPLICADO NO TG",IF(COUNTIF('Bolsas e auxílios'!$J$5:$J$1000,AD99)=0,"FORA DO CONTROLE","LOCALIZADO")))</f>
        <v/>
      </c>
    </row>
    <row r="100" ht="15.75" customHeight="1"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9" t="str">
        <f t="shared" si="1"/>
        <v/>
      </c>
      <c r="AE100" s="79" t="str">
        <f>IF(AD100="","",IF(COUNTIF($AD$2:$AD$1000,AD100)&gt;1,"DUPLICADO NO TG",IF(COUNTIF('Bolsas e auxílios'!$J$5:$J$1000,AD100)=0,"FORA DO CONTROLE","LOCALIZADO")))</f>
        <v/>
      </c>
    </row>
    <row r="101" ht="15.75" customHeight="1"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9" t="str">
        <f t="shared" si="1"/>
        <v/>
      </c>
      <c r="AE101" s="79" t="str">
        <f>IF(AD101="","",IF(COUNTIF($AD$2:$AD$1000,AD101)&gt;1,"DUPLICADO NO TG",IF(COUNTIF('Bolsas e auxílios'!$J$5:$J$1000,AD101)=0,"FORA DO CONTROLE","LOCALIZADO")))</f>
        <v/>
      </c>
    </row>
    <row r="102" ht="15.75" customHeight="1"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9" t="str">
        <f t="shared" si="1"/>
        <v/>
      </c>
      <c r="AE102" s="79" t="str">
        <f>IF(AD102="","",IF(COUNTIF($AD$2:$AD$1000,AD102)&gt;1,"DUPLICADO NO TG",IF(COUNTIF('Bolsas e auxílios'!$J$5:$J$1000,AD102)=0,"FORA DO CONTROLE","LOCALIZADO")))</f>
        <v/>
      </c>
    </row>
    <row r="103" ht="15.75" customHeight="1"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9" t="str">
        <f t="shared" si="1"/>
        <v/>
      </c>
      <c r="AE103" s="79" t="str">
        <f>IF(AD103="","",IF(COUNTIF($AD$2:$AD$1000,AD103)&gt;1,"DUPLICADO NO TG",IF(COUNTIF('Bolsas e auxílios'!$J$5:$J$1000,AD103)=0,"FORA DO CONTROLE","LOCALIZADO")))</f>
        <v/>
      </c>
    </row>
    <row r="104" ht="15.75" customHeight="1"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9" t="str">
        <f t="shared" si="1"/>
        <v/>
      </c>
      <c r="AE104" s="79" t="str">
        <f>IF(AD104="","",IF(COUNTIF($AD$2:$AD$1000,AD104)&gt;1,"DUPLICADO NO TG",IF(COUNTIF('Bolsas e auxílios'!$J$5:$J$1000,AD104)=0,"FORA DO CONTROLE","LOCALIZADO")))</f>
        <v/>
      </c>
    </row>
    <row r="105" ht="15.75" customHeight="1"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9" t="str">
        <f t="shared" si="1"/>
        <v/>
      </c>
      <c r="AE105" s="79" t="str">
        <f>IF(AD105="","",IF(COUNTIF($AD$2:$AD$1000,AD105)&gt;1,"DUPLICADO NO TG",IF(COUNTIF('Bolsas e auxílios'!$J$5:$J$1000,AD105)=0,"FORA DO CONTROLE","LOCALIZADO")))</f>
        <v/>
      </c>
    </row>
    <row r="106" ht="15.75" customHeight="1"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9" t="str">
        <f t="shared" si="1"/>
        <v/>
      </c>
      <c r="AE106" s="79" t="str">
        <f>IF(AD106="","",IF(COUNTIF($AD$2:$AD$1000,AD106)&gt;1,"DUPLICADO NO TG",IF(COUNTIF('Bolsas e auxílios'!$J$5:$J$1000,AD106)=0,"FORA DO CONTROLE","LOCALIZADO")))</f>
        <v/>
      </c>
    </row>
    <row r="107" ht="15.75" customHeight="1"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9" t="str">
        <f t="shared" si="1"/>
        <v/>
      </c>
      <c r="AE107" s="79" t="str">
        <f>IF(AD107="","",IF(COUNTIF($AD$2:$AD$1000,AD107)&gt;1,"DUPLICADO NO TG",IF(COUNTIF('Bolsas e auxílios'!$J$5:$J$1000,AD107)=0,"FORA DO CONTROLE","LOCALIZADO")))</f>
        <v/>
      </c>
    </row>
    <row r="108" ht="15.75" customHeight="1"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9" t="str">
        <f t="shared" si="1"/>
        <v/>
      </c>
      <c r="AE108" s="79" t="str">
        <f>IF(AD108="","",IF(COUNTIF($AD$2:$AD$1000,AD108)&gt;1,"DUPLICADO NO TG",IF(COUNTIF('Bolsas e auxílios'!$J$5:$J$1000,AD108)=0,"FORA DO CONTROLE","LOCALIZADO")))</f>
        <v/>
      </c>
    </row>
    <row r="109" ht="15.75" customHeight="1"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9" t="str">
        <f t="shared" si="1"/>
        <v/>
      </c>
      <c r="AE109" s="79" t="str">
        <f>IF(AD109="","",IF(COUNTIF($AD$2:$AD$1000,AD109)&gt;1,"DUPLICADO NO TG",IF(COUNTIF('Bolsas e auxílios'!$J$5:$J$1000,AD109)=0,"FORA DO CONTROLE","LOCALIZADO")))</f>
        <v/>
      </c>
    </row>
    <row r="110" ht="15.75" customHeight="1"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9" t="str">
        <f t="shared" si="1"/>
        <v/>
      </c>
      <c r="AE110" s="79" t="str">
        <f>IF(AD110="","",IF(COUNTIF($AD$2:$AD$1000,AD110)&gt;1,"DUPLICADO NO TG",IF(COUNTIF('Bolsas e auxílios'!$J$5:$J$1000,AD110)=0,"FORA DO CONTROLE","LOCALIZADO")))</f>
        <v/>
      </c>
    </row>
    <row r="111" ht="15.75" customHeight="1"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9" t="str">
        <f t="shared" si="1"/>
        <v/>
      </c>
      <c r="AE111" s="79" t="str">
        <f>IF(AD111="","",IF(COUNTIF($AD$2:$AD$1000,AD111)&gt;1,"DUPLICADO NO TG",IF(COUNTIF('Bolsas e auxílios'!$J$5:$J$1000,AD111)=0,"FORA DO CONTROLE","LOCALIZADO")))</f>
        <v/>
      </c>
    </row>
    <row r="112" ht="15.75" customHeight="1"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9" t="str">
        <f t="shared" si="1"/>
        <v/>
      </c>
      <c r="AE112" s="79" t="str">
        <f>IF(AD112="","",IF(COUNTIF($AD$2:$AD$1000,AD112)&gt;1,"DUPLICADO NO TG",IF(COUNTIF('Bolsas e auxílios'!$J$5:$J$1000,AD112)=0,"FORA DO CONTROLE","LOCALIZADO")))</f>
        <v/>
      </c>
    </row>
    <row r="113" ht="15.75" customHeight="1"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9" t="str">
        <f t="shared" si="1"/>
        <v/>
      </c>
      <c r="AE113" s="79" t="str">
        <f>IF(AD113="","",IF(COUNTIF($AD$2:$AD$1000,AD113)&gt;1,"DUPLICADO NO TG",IF(COUNTIF('Bolsas e auxílios'!$J$5:$J$1000,AD113)=0,"FORA DO CONTROLE","LOCALIZADO")))</f>
        <v/>
      </c>
    </row>
    <row r="114" ht="15.75" customHeight="1"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9" t="str">
        <f t="shared" si="1"/>
        <v/>
      </c>
      <c r="AE114" s="79" t="str">
        <f>IF(AD114="","",IF(COUNTIF($AD$2:$AD$1000,AD114)&gt;1,"DUPLICADO NO TG",IF(COUNTIF('Bolsas e auxílios'!$J$5:$J$1000,AD114)=0,"FORA DO CONTROLE","LOCALIZADO")))</f>
        <v/>
      </c>
    </row>
    <row r="115" ht="15.75" customHeight="1"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9" t="str">
        <f t="shared" si="1"/>
        <v/>
      </c>
      <c r="AE115" s="79" t="str">
        <f>IF(AD115="","",IF(COUNTIF($AD$2:$AD$1000,AD115)&gt;1,"DUPLICADO NO TG",IF(COUNTIF('Bolsas e auxílios'!$J$5:$J$1000,AD115)=0,"FORA DO CONTROLE","LOCALIZADO")))</f>
        <v/>
      </c>
    </row>
    <row r="116" ht="15.75" customHeight="1"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9" t="str">
        <f t="shared" si="1"/>
        <v/>
      </c>
      <c r="AE116" s="79" t="str">
        <f>IF(AD116="","",IF(COUNTIF($AD$2:$AD$1000,AD116)&gt;1,"DUPLICADO NO TG",IF(COUNTIF('Bolsas e auxílios'!$J$5:$J$1000,AD116)=0,"FORA DO CONTROLE","LOCALIZADO")))</f>
        <v/>
      </c>
    </row>
    <row r="117" ht="15.75" customHeight="1"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9" t="str">
        <f t="shared" si="1"/>
        <v/>
      </c>
      <c r="AE117" s="79" t="str">
        <f>IF(AD117="","",IF(COUNTIF($AD$2:$AD$1000,AD117)&gt;1,"DUPLICADO NO TG",IF(COUNTIF('Bolsas e auxílios'!$J$5:$J$1000,AD117)=0,"FORA DO CONTROLE","LOCALIZADO")))</f>
        <v/>
      </c>
    </row>
    <row r="118" ht="15.75" customHeight="1"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9" t="str">
        <f t="shared" si="1"/>
        <v/>
      </c>
      <c r="AE118" s="79" t="str">
        <f>IF(AD118="","",IF(COUNTIF($AD$2:$AD$1000,AD118)&gt;1,"DUPLICADO NO TG",IF(COUNTIF('Bolsas e auxílios'!$J$5:$J$1000,AD118)=0,"FORA DO CONTROLE","LOCALIZADO")))</f>
        <v/>
      </c>
    </row>
    <row r="119" ht="15.75" customHeight="1"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9" t="str">
        <f t="shared" si="1"/>
        <v/>
      </c>
      <c r="AE119" s="79" t="str">
        <f>IF(AD119="","",IF(COUNTIF($AD$2:$AD$1000,AD119)&gt;1,"DUPLICADO NO TG",IF(COUNTIF('Bolsas e auxílios'!$J$5:$J$1000,AD119)=0,"FORA DO CONTROLE","LOCALIZADO")))</f>
        <v/>
      </c>
    </row>
    <row r="120" ht="15.75" customHeight="1"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9" t="str">
        <f t="shared" si="1"/>
        <v/>
      </c>
      <c r="AE120" s="79" t="str">
        <f>IF(AD120="","",IF(COUNTIF($AD$2:$AD$1000,AD120)&gt;1,"DUPLICADO NO TG",IF(COUNTIF('Bolsas e auxílios'!$J$5:$J$1000,AD120)=0,"FORA DO CONTROLE","LOCALIZADO")))</f>
        <v/>
      </c>
    </row>
    <row r="121" ht="15.75" customHeight="1"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9" t="str">
        <f t="shared" si="1"/>
        <v/>
      </c>
      <c r="AE121" s="79" t="str">
        <f>IF(AD121="","",IF(COUNTIF($AD$2:$AD$1000,AD121)&gt;1,"DUPLICADO NO TG",IF(COUNTIF('Bolsas e auxílios'!$J$5:$J$1000,AD121)=0,"FORA DO CONTROLE","LOCALIZADO")))</f>
        <v/>
      </c>
    </row>
    <row r="122" ht="15.75" customHeight="1"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9" t="str">
        <f t="shared" si="1"/>
        <v/>
      </c>
      <c r="AE122" s="79" t="str">
        <f>IF(AD122="","",IF(COUNTIF($AD$2:$AD$1000,AD122)&gt;1,"DUPLICADO NO TG",IF(COUNTIF('Bolsas e auxílios'!$J$5:$J$1000,AD122)=0,"FORA DO CONTROLE","LOCALIZADO")))</f>
        <v/>
      </c>
    </row>
    <row r="123" ht="15.75" customHeight="1"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9" t="str">
        <f t="shared" si="1"/>
        <v/>
      </c>
      <c r="AE123" s="79" t="str">
        <f>IF(AD123="","",IF(COUNTIF($AD$2:$AD$1000,AD123)&gt;1,"DUPLICADO NO TG",IF(COUNTIF('Bolsas e auxílios'!$J$5:$J$1000,AD123)=0,"FORA DO CONTROLE","LOCALIZADO")))</f>
        <v/>
      </c>
    </row>
    <row r="124" ht="15.75" customHeight="1"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9" t="str">
        <f t="shared" si="1"/>
        <v/>
      </c>
      <c r="AE124" s="79" t="str">
        <f>IF(AD124="","",IF(COUNTIF($AD$2:$AD$1000,AD124)&gt;1,"DUPLICADO NO TG",IF(COUNTIF('Bolsas e auxílios'!$J$5:$J$1000,AD124)=0,"FORA DO CONTROLE","LOCALIZADO")))</f>
        <v/>
      </c>
    </row>
    <row r="125" ht="15.75" customHeight="1"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9" t="str">
        <f t="shared" si="1"/>
        <v/>
      </c>
      <c r="AE125" s="79" t="str">
        <f>IF(AD125="","",IF(COUNTIF($AD$2:$AD$1000,AD125)&gt;1,"DUPLICADO NO TG",IF(COUNTIF('Bolsas e auxílios'!$J$5:$J$1000,AD125)=0,"FORA DO CONTROLE","LOCALIZADO")))</f>
        <v/>
      </c>
    </row>
    <row r="126" ht="15.75" customHeight="1"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9" t="str">
        <f t="shared" si="1"/>
        <v/>
      </c>
      <c r="AE126" s="79" t="str">
        <f>IF(AD126="","",IF(COUNTIF($AD$2:$AD$1000,AD126)&gt;1,"DUPLICADO NO TG",IF(COUNTIF('Bolsas e auxílios'!$J$5:$J$1000,AD126)=0,"FORA DO CONTROLE","LOCALIZADO")))</f>
        <v/>
      </c>
    </row>
    <row r="127" ht="15.75" customHeight="1"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9" t="str">
        <f t="shared" si="1"/>
        <v/>
      </c>
      <c r="AE127" s="79" t="str">
        <f>IF(AD127="","",IF(COUNTIF($AD$2:$AD$1000,AD127)&gt;1,"DUPLICADO NO TG",IF(COUNTIF('Bolsas e auxílios'!$J$5:$J$1000,AD127)=0,"FORA DO CONTROLE","LOCALIZADO")))</f>
        <v/>
      </c>
    </row>
    <row r="128" ht="15.75" customHeight="1"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9" t="str">
        <f t="shared" si="1"/>
        <v/>
      </c>
      <c r="AE128" s="79" t="str">
        <f>IF(AD128="","",IF(COUNTIF($AD$2:$AD$1000,AD128)&gt;1,"DUPLICADO NO TG",IF(COUNTIF('Bolsas e auxílios'!$J$5:$J$1000,AD128)=0,"FORA DO CONTROLE","LOCALIZADO")))</f>
        <v/>
      </c>
    </row>
    <row r="129" ht="15.75" customHeight="1"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9" t="str">
        <f t="shared" si="1"/>
        <v/>
      </c>
      <c r="AE129" s="79" t="str">
        <f>IF(AD129="","",IF(COUNTIF($AD$2:$AD$1000,AD129)&gt;1,"DUPLICADO NO TG",IF(COUNTIF('Bolsas e auxílios'!$J$5:$J$1000,AD129)=0,"FORA DO CONTROLE","LOCALIZADO")))</f>
        <v/>
      </c>
    </row>
    <row r="130" ht="15.75" customHeight="1"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9" t="str">
        <f t="shared" si="1"/>
        <v/>
      </c>
      <c r="AE130" s="79" t="str">
        <f>IF(AD130="","",IF(COUNTIF($AD$2:$AD$1000,AD130)&gt;1,"DUPLICADO NO TG",IF(COUNTIF('Bolsas e auxílios'!$J$5:$J$1000,AD130)=0,"FORA DO CONTROLE","LOCALIZADO")))</f>
        <v/>
      </c>
    </row>
    <row r="131" ht="15.75" customHeight="1"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9" t="str">
        <f t="shared" si="1"/>
        <v/>
      </c>
      <c r="AE131" s="79" t="str">
        <f>IF(AD131="","",IF(COUNTIF($AD$2:$AD$1000,AD131)&gt;1,"DUPLICADO NO TG",IF(COUNTIF('Bolsas e auxílios'!$J$5:$J$1000,AD131)=0,"FORA DO CONTROLE","LOCALIZADO")))</f>
        <v/>
      </c>
    </row>
    <row r="132" ht="15.75" customHeight="1"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9" t="str">
        <f t="shared" si="1"/>
        <v/>
      </c>
      <c r="AE132" s="79" t="str">
        <f>IF(AD132="","",IF(COUNTIF($AD$2:$AD$1000,AD132)&gt;1,"DUPLICADO NO TG",IF(COUNTIF('Bolsas e auxílios'!$J$5:$J$1000,AD132)=0,"FORA DO CONTROLE","LOCALIZADO")))</f>
        <v/>
      </c>
    </row>
    <row r="133" ht="15.75" customHeight="1"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9" t="str">
        <f t="shared" si="1"/>
        <v/>
      </c>
      <c r="AE133" s="79" t="str">
        <f>IF(AD133="","",IF(COUNTIF($AD$2:$AD$1000,AD133)&gt;1,"DUPLICADO NO TG",IF(COUNTIF('Bolsas e auxílios'!$J$5:$J$1000,AD133)=0,"FORA DO CONTROLE","LOCALIZADO")))</f>
        <v/>
      </c>
    </row>
    <row r="134" ht="15.75" customHeight="1"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9" t="str">
        <f t="shared" si="1"/>
        <v/>
      </c>
      <c r="AE134" s="79" t="str">
        <f>IF(AD134="","",IF(COUNTIF($AD$2:$AD$1000,AD134)&gt;1,"DUPLICADO NO TG",IF(COUNTIF('Bolsas e auxílios'!$J$5:$J$1000,AD134)=0,"FORA DO CONTROLE","LOCALIZADO")))</f>
        <v/>
      </c>
    </row>
    <row r="135" ht="15.75" customHeight="1"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9" t="str">
        <f t="shared" si="1"/>
        <v/>
      </c>
      <c r="AE135" s="79" t="str">
        <f>IF(AD135="","",IF(COUNTIF($AD$2:$AD$1000,AD135)&gt;1,"DUPLICADO NO TG",IF(COUNTIF('Bolsas e auxílios'!$J$5:$J$1000,AD135)=0,"FORA DO CONTROLE","LOCALIZADO")))</f>
        <v/>
      </c>
    </row>
    <row r="136" ht="15.75" customHeight="1"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9" t="str">
        <f t="shared" si="1"/>
        <v/>
      </c>
      <c r="AE136" s="79" t="str">
        <f>IF(AD136="","",IF(COUNTIF($AD$2:$AD$1000,AD136)&gt;1,"DUPLICADO NO TG",IF(COUNTIF('Bolsas e auxílios'!$J$5:$J$1000,AD136)=0,"FORA DO CONTROLE","LOCALIZADO")))</f>
        <v/>
      </c>
    </row>
    <row r="137" ht="15.75" customHeight="1"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9" t="str">
        <f t="shared" si="1"/>
        <v/>
      </c>
      <c r="AE137" s="79" t="str">
        <f>IF(AD137="","",IF(COUNTIF($AD$2:$AD$1000,AD137)&gt;1,"DUPLICADO NO TG",IF(COUNTIF('Bolsas e auxílios'!$J$5:$J$1000,AD137)=0,"FORA DO CONTROLE","LOCALIZADO")))</f>
        <v/>
      </c>
    </row>
    <row r="138" ht="15.75" customHeight="1"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9" t="str">
        <f t="shared" si="1"/>
        <v/>
      </c>
      <c r="AE138" s="79" t="str">
        <f>IF(AD138="","",IF(COUNTIF($AD$2:$AD$1000,AD138)&gt;1,"DUPLICADO NO TG",IF(COUNTIF('Bolsas e auxílios'!$J$5:$J$1000,AD138)=0,"FORA DO CONTROLE","LOCALIZADO")))</f>
        <v/>
      </c>
    </row>
    <row r="139" ht="15.75" customHeight="1"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9" t="str">
        <f t="shared" si="1"/>
        <v/>
      </c>
      <c r="AE139" s="79" t="str">
        <f>IF(AD139="","",IF(COUNTIF($AD$2:$AD$1000,AD139)&gt;1,"DUPLICADO NO TG",IF(COUNTIF('Bolsas e auxílios'!$J$5:$J$1000,AD139)=0,"FORA DO CONTROLE","LOCALIZADO")))</f>
        <v/>
      </c>
    </row>
    <row r="140" ht="15.75" customHeight="1"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9" t="str">
        <f t="shared" si="1"/>
        <v/>
      </c>
      <c r="AE140" s="79" t="str">
        <f>IF(AD140="","",IF(COUNTIF($AD$2:$AD$1000,AD140)&gt;1,"DUPLICADO NO TG",IF(COUNTIF('Bolsas e auxílios'!$J$5:$J$1000,AD140)=0,"FORA DO CONTROLE","LOCALIZADO")))</f>
        <v/>
      </c>
    </row>
    <row r="141" ht="15.75" customHeight="1"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9" t="str">
        <f t="shared" si="1"/>
        <v/>
      </c>
      <c r="AE141" s="79" t="str">
        <f>IF(AD141="","",IF(COUNTIF($AD$2:$AD$1000,AD141)&gt;1,"DUPLICADO NO TG",IF(COUNTIF('Bolsas e auxílios'!$J$5:$J$1000,AD141)=0,"FORA DO CONTROLE","LOCALIZADO")))</f>
        <v/>
      </c>
    </row>
    <row r="142" ht="15.75" customHeight="1"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9" t="str">
        <f t="shared" si="1"/>
        <v/>
      </c>
      <c r="AE142" s="79" t="str">
        <f>IF(AD142="","",IF(COUNTIF($AD$2:$AD$1000,AD142)&gt;1,"DUPLICADO NO TG",IF(COUNTIF('Bolsas e auxílios'!$J$5:$J$1000,AD142)=0,"FORA DO CONTROLE","LOCALIZADO")))</f>
        <v/>
      </c>
    </row>
    <row r="143" ht="15.75" customHeight="1"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9" t="str">
        <f t="shared" si="1"/>
        <v/>
      </c>
      <c r="AE143" s="79" t="str">
        <f>IF(AD143="","",IF(COUNTIF($AD$2:$AD$1000,AD143)&gt;1,"DUPLICADO NO TG",IF(COUNTIF('Bolsas e auxílios'!$J$5:$J$1000,AD143)=0,"FORA DO CONTROLE","LOCALIZADO")))</f>
        <v/>
      </c>
    </row>
    <row r="144" ht="15.75" customHeight="1"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9" t="str">
        <f t="shared" si="1"/>
        <v/>
      </c>
      <c r="AE144" s="79" t="str">
        <f>IF(AD144="","",IF(COUNTIF($AD$2:$AD$1000,AD144)&gt;1,"DUPLICADO NO TG",IF(COUNTIF('Bolsas e auxílios'!$J$5:$J$1000,AD144)=0,"FORA DO CONTROLE","LOCALIZADO")))</f>
        <v/>
      </c>
    </row>
    <row r="145" ht="15.75" customHeight="1"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9" t="str">
        <f t="shared" si="1"/>
        <v/>
      </c>
      <c r="AE145" s="79" t="str">
        <f>IF(AD145="","",IF(COUNTIF($AD$2:$AD$1000,AD145)&gt;1,"DUPLICADO NO TG",IF(COUNTIF('Bolsas e auxílios'!$J$5:$J$1000,AD145)=0,"FORA DO CONTROLE","LOCALIZADO")))</f>
        <v/>
      </c>
    </row>
    <row r="146" ht="15.75" customHeight="1"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9" t="str">
        <f t="shared" si="1"/>
        <v/>
      </c>
      <c r="AE146" s="79" t="str">
        <f>IF(AD146="","",IF(COUNTIF($AD$2:$AD$1000,AD146)&gt;1,"DUPLICADO NO TG",IF(COUNTIF('Bolsas e auxílios'!$J$5:$J$1000,AD146)=0,"FORA DO CONTROLE","LOCALIZADO")))</f>
        <v/>
      </c>
    </row>
    <row r="147" ht="15.75" customHeight="1"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9" t="str">
        <f t="shared" si="1"/>
        <v/>
      </c>
      <c r="AE147" s="79" t="str">
        <f>IF(AD147="","",IF(COUNTIF($AD$2:$AD$1000,AD147)&gt;1,"DUPLICADO NO TG",IF(COUNTIF('Bolsas e auxílios'!$J$5:$J$1000,AD147)=0,"FORA DO CONTROLE","LOCALIZADO")))</f>
        <v/>
      </c>
    </row>
    <row r="148" ht="15.75" customHeight="1"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9" t="str">
        <f t="shared" si="1"/>
        <v/>
      </c>
      <c r="AE148" s="79" t="str">
        <f>IF(AD148="","",IF(COUNTIF($AD$2:$AD$1000,AD148)&gt;1,"DUPLICADO NO TG",IF(COUNTIF('Bolsas e auxílios'!$J$5:$J$1000,AD148)=0,"FORA DO CONTROLE","LOCALIZADO")))</f>
        <v/>
      </c>
    </row>
    <row r="149" ht="15.75" customHeight="1"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9" t="str">
        <f t="shared" si="1"/>
        <v/>
      </c>
      <c r="AE149" s="79" t="str">
        <f>IF(AD149="","",IF(COUNTIF($AD$2:$AD$1000,AD149)&gt;1,"DUPLICADO NO TG",IF(COUNTIF('Bolsas e auxílios'!$J$5:$J$1000,AD149)=0,"FORA DO CONTROLE","LOCALIZADO")))</f>
        <v/>
      </c>
    </row>
    <row r="150" ht="15.75" customHeight="1"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9" t="str">
        <f t="shared" si="1"/>
        <v/>
      </c>
      <c r="AE150" s="79" t="str">
        <f>IF(AD150="","",IF(COUNTIF($AD$2:$AD$1000,AD150)&gt;1,"DUPLICADO NO TG",IF(COUNTIF('Bolsas e auxílios'!$J$5:$J$1000,AD150)=0,"FORA DO CONTROLE","LOCALIZADO")))</f>
        <v/>
      </c>
    </row>
    <row r="151" ht="15.75" customHeight="1"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9" t="str">
        <f t="shared" si="1"/>
        <v/>
      </c>
      <c r="AE151" s="79" t="str">
        <f>IF(AD151="","",IF(COUNTIF($AD$2:$AD$1000,AD151)&gt;1,"DUPLICADO NO TG",IF(COUNTIF('Bolsas e auxílios'!$J$5:$J$1000,AD151)=0,"FORA DO CONTROLE","LOCALIZADO")))</f>
        <v/>
      </c>
    </row>
    <row r="152" ht="15.75" customHeight="1"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9" t="str">
        <f t="shared" si="1"/>
        <v/>
      </c>
      <c r="AE152" s="79" t="str">
        <f>IF(AD152="","",IF(COUNTIF($AD$2:$AD$1000,AD152)&gt;1,"DUPLICADO NO TG",IF(COUNTIF('Bolsas e auxílios'!$J$5:$J$1000,AD152)=0,"FORA DO CONTROLE","LOCALIZADO")))</f>
        <v/>
      </c>
    </row>
    <row r="153" ht="15.75" customHeight="1"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9" t="str">
        <f t="shared" si="1"/>
        <v/>
      </c>
      <c r="AE153" s="79" t="str">
        <f>IF(AD153="","",IF(COUNTIF($AD$2:$AD$1000,AD153)&gt;1,"DUPLICADO NO TG",IF(COUNTIF('Bolsas e auxílios'!$J$5:$J$1000,AD153)=0,"FORA DO CONTROLE","LOCALIZADO")))</f>
        <v/>
      </c>
    </row>
    <row r="154" ht="15.75" customHeight="1"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9" t="str">
        <f t="shared" si="1"/>
        <v/>
      </c>
      <c r="AE154" s="79" t="str">
        <f>IF(AD154="","",IF(COUNTIF($AD$2:$AD$1000,AD154)&gt;1,"DUPLICADO NO TG",IF(COUNTIF('Bolsas e auxílios'!$J$5:$J$1000,AD154)=0,"FORA DO CONTROLE","LOCALIZADO")))</f>
        <v/>
      </c>
    </row>
    <row r="155" ht="15.75" customHeight="1"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9" t="str">
        <f t="shared" si="1"/>
        <v/>
      </c>
      <c r="AE155" s="79" t="str">
        <f>IF(AD155="","",IF(COUNTIF($AD$2:$AD$1000,AD155)&gt;1,"DUPLICADO NO TG",IF(COUNTIF('Bolsas e auxílios'!$J$5:$J$1000,AD155)=0,"FORA DO CONTROLE","LOCALIZADO")))</f>
        <v/>
      </c>
    </row>
    <row r="156" ht="15.75" customHeight="1"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9" t="str">
        <f t="shared" si="1"/>
        <v/>
      </c>
      <c r="AE156" s="79" t="str">
        <f>IF(AD156="","",IF(COUNTIF($AD$2:$AD$1000,AD156)&gt;1,"DUPLICADO NO TG",IF(COUNTIF('Bolsas e auxílios'!$J$5:$J$1000,AD156)=0,"FORA DO CONTROLE","LOCALIZADO")))</f>
        <v/>
      </c>
    </row>
    <row r="157" ht="15.75" customHeight="1"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9" t="str">
        <f t="shared" si="1"/>
        <v/>
      </c>
      <c r="AE157" s="79" t="str">
        <f>IF(AD157="","",IF(COUNTIF($AD$2:$AD$1000,AD157)&gt;1,"DUPLICADO NO TG",IF(COUNTIF('Bolsas e auxílios'!$J$5:$J$1000,AD157)=0,"FORA DO CONTROLE","LOCALIZADO")))</f>
        <v/>
      </c>
    </row>
    <row r="158" ht="15.75" customHeight="1"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9" t="str">
        <f t="shared" si="1"/>
        <v/>
      </c>
      <c r="AE158" s="79" t="str">
        <f>IF(AD158="","",IF(COUNTIF($AD$2:$AD$1000,AD158)&gt;1,"DUPLICADO NO TG",IF(COUNTIF('Bolsas e auxílios'!$J$5:$J$1000,AD158)=0,"FORA DO CONTROLE","LOCALIZADO")))</f>
        <v/>
      </c>
    </row>
    <row r="159" ht="15.75" customHeight="1"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9" t="str">
        <f t="shared" si="1"/>
        <v/>
      </c>
      <c r="AE159" s="79" t="str">
        <f>IF(AD159="","",IF(COUNTIF($AD$2:$AD$1000,AD159)&gt;1,"DUPLICADO NO TG",IF(COUNTIF('Bolsas e auxílios'!$J$5:$J$1000,AD159)=0,"FORA DO CONTROLE","LOCALIZADO")))</f>
        <v/>
      </c>
    </row>
    <row r="160" ht="15.75" customHeight="1"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9" t="str">
        <f t="shared" si="1"/>
        <v/>
      </c>
      <c r="AE160" s="79" t="str">
        <f>IF(AD160="","",IF(COUNTIF($AD$2:$AD$1000,AD160)&gt;1,"DUPLICADO NO TG",IF(COUNTIF('Bolsas e auxílios'!$J$5:$J$1000,AD160)=0,"FORA DO CONTROLE","LOCALIZADO")))</f>
        <v/>
      </c>
    </row>
    <row r="161" ht="15.75" customHeight="1"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9" t="str">
        <f t="shared" si="1"/>
        <v/>
      </c>
      <c r="AE161" s="79" t="str">
        <f>IF(AD161="","",IF(COUNTIF($AD$2:$AD$1000,AD161)&gt;1,"DUPLICADO NO TG",IF(COUNTIF('Bolsas e auxílios'!$J$5:$J$1000,AD161)=0,"FORA DO CONTROLE","LOCALIZADO")))</f>
        <v/>
      </c>
    </row>
    <row r="162" ht="15.75" customHeight="1"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9" t="str">
        <f t="shared" si="1"/>
        <v/>
      </c>
      <c r="AE162" s="79" t="str">
        <f>IF(AD162="","",IF(COUNTIF($AD$2:$AD$1000,AD162)&gt;1,"DUPLICADO NO TG",IF(COUNTIF('Bolsas e auxílios'!$J$5:$J$1000,AD162)=0,"FORA DO CONTROLE","LOCALIZADO")))</f>
        <v/>
      </c>
    </row>
    <row r="163" ht="15.75" customHeight="1"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9" t="str">
        <f t="shared" si="1"/>
        <v/>
      </c>
      <c r="AE163" s="79" t="str">
        <f>IF(AD163="","",IF(COUNTIF($AD$2:$AD$1000,AD163)&gt;1,"DUPLICADO NO TG",IF(COUNTIF('Bolsas e auxílios'!$J$5:$J$1000,AD163)=0,"FORA DO CONTROLE","LOCALIZADO")))</f>
        <v/>
      </c>
    </row>
    <row r="164" ht="15.75" customHeight="1"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9" t="str">
        <f t="shared" si="1"/>
        <v/>
      </c>
      <c r="AE164" s="79" t="str">
        <f>IF(AD164="","",IF(COUNTIF($AD$2:$AD$1000,AD164)&gt;1,"DUPLICADO NO TG",IF(COUNTIF('Bolsas e auxílios'!$J$5:$J$1000,AD164)=0,"FORA DO CONTROLE","LOCALIZADO")))</f>
        <v/>
      </c>
    </row>
    <row r="165" ht="15.75" customHeight="1"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9" t="str">
        <f t="shared" si="1"/>
        <v/>
      </c>
      <c r="AE165" s="79" t="str">
        <f>IF(AD165="","",IF(COUNTIF($AD$2:$AD$1000,AD165)&gt;1,"DUPLICADO NO TG",IF(COUNTIF('Bolsas e auxílios'!$J$5:$J$1000,AD165)=0,"FORA DO CONTROLE","LOCALIZADO")))</f>
        <v/>
      </c>
    </row>
    <row r="166" ht="15.75" customHeight="1"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9" t="str">
        <f t="shared" si="1"/>
        <v/>
      </c>
      <c r="AE166" s="79" t="str">
        <f>IF(AD166="","",IF(COUNTIF($AD$2:$AD$1000,AD166)&gt;1,"DUPLICADO NO TG",IF(COUNTIF('Bolsas e auxílios'!$J$5:$J$1000,AD166)=0,"FORA DO CONTROLE","LOCALIZADO")))</f>
        <v/>
      </c>
    </row>
    <row r="167" ht="15.75" customHeight="1"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9" t="str">
        <f t="shared" si="1"/>
        <v/>
      </c>
      <c r="AE167" s="79" t="str">
        <f>IF(AD167="","",IF(COUNTIF($AD$2:$AD$1000,AD167)&gt;1,"DUPLICADO NO TG",IF(COUNTIF('Bolsas e auxílios'!$J$5:$J$1000,AD167)=0,"FORA DO CONTROLE","LOCALIZADO")))</f>
        <v/>
      </c>
    </row>
    <row r="168" ht="15.75" customHeight="1"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9" t="str">
        <f t="shared" si="1"/>
        <v/>
      </c>
      <c r="AE168" s="79" t="str">
        <f>IF(AD168="","",IF(COUNTIF($AD$2:$AD$1000,AD168)&gt;1,"DUPLICADO NO TG",IF(COUNTIF('Bolsas e auxílios'!$J$5:$J$1000,AD168)=0,"FORA DO CONTROLE","LOCALIZADO")))</f>
        <v/>
      </c>
    </row>
    <row r="169" ht="15.75" customHeight="1"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9" t="str">
        <f t="shared" si="1"/>
        <v/>
      </c>
      <c r="AE169" s="79" t="str">
        <f>IF(AD169="","",IF(COUNTIF($AD$2:$AD$1000,AD169)&gt;1,"DUPLICADO NO TG",IF(COUNTIF('Bolsas e auxílios'!$J$5:$J$1000,AD169)=0,"FORA DO CONTROLE","LOCALIZADO")))</f>
        <v/>
      </c>
    </row>
    <row r="170" ht="15.75" customHeight="1"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9" t="str">
        <f t="shared" si="1"/>
        <v/>
      </c>
      <c r="AE170" s="79" t="str">
        <f>IF(AD170="","",IF(COUNTIF($AD$2:$AD$1000,AD170)&gt;1,"DUPLICADO NO TG",IF(COUNTIF('Bolsas e auxílios'!$J$5:$J$1000,AD170)=0,"FORA DO CONTROLE","LOCALIZADO")))</f>
        <v/>
      </c>
    </row>
    <row r="171" ht="15.75" customHeight="1"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9" t="str">
        <f t="shared" si="1"/>
        <v/>
      </c>
      <c r="AE171" s="79" t="str">
        <f>IF(AD171="","",IF(COUNTIF($AD$2:$AD$1000,AD171)&gt;1,"DUPLICADO NO TG",IF(COUNTIF('Bolsas e auxílios'!$J$5:$J$1000,AD171)=0,"FORA DO CONTROLE","LOCALIZADO")))</f>
        <v/>
      </c>
    </row>
    <row r="172" ht="15.75" customHeight="1"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9" t="str">
        <f t="shared" si="1"/>
        <v/>
      </c>
      <c r="AE172" s="79" t="str">
        <f>IF(AD172="","",IF(COUNTIF($AD$2:$AD$1000,AD172)&gt;1,"DUPLICADO NO TG",IF(COUNTIF('Bolsas e auxílios'!$J$5:$J$1000,AD172)=0,"FORA DO CONTROLE","LOCALIZADO")))</f>
        <v/>
      </c>
    </row>
    <row r="173" ht="15.75" customHeight="1"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9" t="str">
        <f t="shared" si="1"/>
        <v/>
      </c>
      <c r="AE173" s="79" t="str">
        <f>IF(AD173="","",IF(COUNTIF($AD$2:$AD$1000,AD173)&gt;1,"DUPLICADO NO TG",IF(COUNTIF('Bolsas e auxílios'!$J$5:$J$1000,AD173)=0,"FORA DO CONTROLE","LOCALIZADO")))</f>
        <v/>
      </c>
    </row>
    <row r="174" ht="15.75" customHeight="1"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9" t="str">
        <f t="shared" si="1"/>
        <v/>
      </c>
      <c r="AE174" s="79" t="str">
        <f>IF(AD174="","",IF(COUNTIF($AD$2:$AD$1000,AD174)&gt;1,"DUPLICADO NO TG",IF(COUNTIF('Bolsas e auxílios'!$J$5:$J$1000,AD174)=0,"FORA DO CONTROLE","LOCALIZADO")))</f>
        <v/>
      </c>
    </row>
    <row r="175" ht="15.75" customHeight="1"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9" t="str">
        <f t="shared" si="1"/>
        <v/>
      </c>
      <c r="AE175" s="79" t="str">
        <f>IF(AD175="","",IF(COUNTIF($AD$2:$AD$1000,AD175)&gt;1,"DUPLICADO NO TG",IF(COUNTIF('Bolsas e auxílios'!$J$5:$J$1000,AD175)=0,"FORA DO CONTROLE","LOCALIZADO")))</f>
        <v/>
      </c>
    </row>
    <row r="176" ht="15.75" customHeight="1"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9" t="str">
        <f t="shared" si="1"/>
        <v/>
      </c>
      <c r="AE176" s="79" t="str">
        <f>IF(AD176="","",IF(COUNTIF($AD$2:$AD$1000,AD176)&gt;1,"DUPLICADO NO TG",IF(COUNTIF('Bolsas e auxílios'!$J$5:$J$1000,AD176)=0,"FORA DO CONTROLE","LOCALIZADO")))</f>
        <v/>
      </c>
    </row>
    <row r="177" ht="15.75" customHeight="1"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9" t="str">
        <f t="shared" si="1"/>
        <v/>
      </c>
      <c r="AE177" s="79" t="str">
        <f>IF(AD177="","",IF(COUNTIF($AD$2:$AD$1000,AD177)&gt;1,"DUPLICADO NO TG",IF(COUNTIF('Bolsas e auxílios'!$J$5:$J$1000,AD177)=0,"FORA DO CONTROLE","LOCALIZADO")))</f>
        <v/>
      </c>
    </row>
    <row r="178" ht="15.75" customHeight="1"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9" t="str">
        <f t="shared" si="1"/>
        <v/>
      </c>
      <c r="AE178" s="79" t="str">
        <f>IF(AD178="","",IF(COUNTIF($AD$2:$AD$1000,AD178)&gt;1,"DUPLICADO NO TG",IF(COUNTIF('Bolsas e auxílios'!$J$5:$J$1000,AD178)=0,"FORA DO CONTROLE","LOCALIZADO")))</f>
        <v/>
      </c>
    </row>
    <row r="179" ht="15.75" customHeight="1"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9" t="str">
        <f t="shared" si="1"/>
        <v/>
      </c>
      <c r="AE179" s="79" t="str">
        <f>IF(AD179="","",IF(COUNTIF($AD$2:$AD$1000,AD179)&gt;1,"DUPLICADO NO TG",IF(COUNTIF('Bolsas e auxílios'!$J$5:$J$1000,AD179)=0,"FORA DO CONTROLE","LOCALIZADO")))</f>
        <v/>
      </c>
    </row>
    <row r="180" ht="15.75" customHeight="1"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9" t="str">
        <f t="shared" si="1"/>
        <v/>
      </c>
      <c r="AE180" s="79" t="str">
        <f>IF(AD180="","",IF(COUNTIF($AD$2:$AD$1000,AD180)&gt;1,"DUPLICADO NO TG",IF(COUNTIF('Bolsas e auxílios'!$J$5:$J$1000,AD180)=0,"FORA DO CONTROLE","LOCALIZADO")))</f>
        <v/>
      </c>
    </row>
    <row r="181" ht="15.75" customHeight="1"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9" t="str">
        <f t="shared" si="1"/>
        <v/>
      </c>
      <c r="AE181" s="79" t="str">
        <f>IF(AD181="","",IF(COUNTIF($AD$2:$AD$1000,AD181)&gt;1,"DUPLICADO NO TG",IF(COUNTIF('Bolsas e auxílios'!$J$5:$J$1000,AD181)=0,"FORA DO CONTROLE","LOCALIZADO")))</f>
        <v/>
      </c>
    </row>
    <row r="182" ht="15.75" customHeight="1"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9" t="str">
        <f t="shared" si="1"/>
        <v/>
      </c>
      <c r="AE182" s="79" t="str">
        <f>IF(AD182="","",IF(COUNTIF($AD$2:$AD$1000,AD182)&gt;1,"DUPLICADO NO TG",IF(COUNTIF('Bolsas e auxílios'!$J$5:$J$1000,AD182)=0,"FORA DO CONTROLE","LOCALIZADO")))</f>
        <v/>
      </c>
    </row>
    <row r="183" ht="15.75" customHeight="1"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9" t="str">
        <f t="shared" si="1"/>
        <v/>
      </c>
      <c r="AE183" s="79" t="str">
        <f>IF(AD183="","",IF(COUNTIF($AD$2:$AD$1000,AD183)&gt;1,"DUPLICADO NO TG",IF(COUNTIF('Bolsas e auxílios'!$J$5:$J$1000,AD183)=0,"FORA DO CONTROLE","LOCALIZADO")))</f>
        <v/>
      </c>
    </row>
    <row r="184" ht="15.75" customHeight="1"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9" t="str">
        <f t="shared" si="1"/>
        <v/>
      </c>
      <c r="AE184" s="79" t="str">
        <f>IF(AD184="","",IF(COUNTIF($AD$2:$AD$1000,AD184)&gt;1,"DUPLICADO NO TG",IF(COUNTIF('Bolsas e auxílios'!$J$5:$J$1000,AD184)=0,"FORA DO CONTROLE","LOCALIZADO")))</f>
        <v/>
      </c>
    </row>
    <row r="185" ht="15.75" customHeight="1"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9" t="str">
        <f t="shared" si="1"/>
        <v/>
      </c>
      <c r="AE185" s="79" t="str">
        <f>IF(AD185="","",IF(COUNTIF($AD$2:$AD$1000,AD185)&gt;1,"DUPLICADO NO TG",IF(COUNTIF('Bolsas e auxílios'!$J$5:$J$1000,AD185)=0,"FORA DO CONTROLE","LOCALIZADO")))</f>
        <v/>
      </c>
    </row>
    <row r="186" ht="15.75" customHeight="1"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9" t="str">
        <f t="shared" si="1"/>
        <v/>
      </c>
      <c r="AE186" s="79" t="str">
        <f>IF(AD186="","",IF(COUNTIF($AD$2:$AD$1000,AD186)&gt;1,"DUPLICADO NO TG",IF(COUNTIF('Bolsas e auxílios'!$J$5:$J$1000,AD186)=0,"FORA DO CONTROLE","LOCALIZADO")))</f>
        <v/>
      </c>
    </row>
    <row r="187" ht="15.75" customHeight="1"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9" t="str">
        <f t="shared" si="1"/>
        <v/>
      </c>
      <c r="AE187" s="79" t="str">
        <f>IF(AD187="","",IF(COUNTIF($AD$2:$AD$1000,AD187)&gt;1,"DUPLICADO NO TG",IF(COUNTIF('Bolsas e auxílios'!$J$5:$J$1000,AD187)=0,"FORA DO CONTROLE","LOCALIZADO")))</f>
        <v/>
      </c>
    </row>
    <row r="188" ht="15.75" customHeight="1"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9" t="str">
        <f t="shared" si="1"/>
        <v/>
      </c>
      <c r="AE188" s="79" t="str">
        <f>IF(AD188="","",IF(COUNTIF($AD$2:$AD$1000,AD188)&gt;1,"DUPLICADO NO TG",IF(COUNTIF('Bolsas e auxílios'!$J$5:$J$1000,AD188)=0,"FORA DO CONTROLE","LOCALIZADO")))</f>
        <v/>
      </c>
    </row>
    <row r="189" ht="15.75" customHeight="1"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9" t="str">
        <f t="shared" si="1"/>
        <v/>
      </c>
      <c r="AE189" s="79" t="str">
        <f>IF(AD189="","",IF(COUNTIF($AD$2:$AD$1000,AD189)&gt;1,"DUPLICADO NO TG",IF(COUNTIF('Bolsas e auxílios'!$J$5:$J$1000,AD189)=0,"FORA DO CONTROLE","LOCALIZADO")))</f>
        <v/>
      </c>
    </row>
    <row r="190" ht="15.75" customHeight="1"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9" t="str">
        <f t="shared" si="1"/>
        <v/>
      </c>
      <c r="AE190" s="79" t="str">
        <f>IF(AD190="","",IF(COUNTIF($AD$2:$AD$1000,AD190)&gt;1,"DUPLICADO NO TG",IF(COUNTIF('Bolsas e auxílios'!$J$5:$J$1000,AD190)=0,"FORA DO CONTROLE","LOCALIZADO")))</f>
        <v/>
      </c>
    </row>
    <row r="191" ht="15.75" customHeight="1"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9" t="str">
        <f t="shared" si="1"/>
        <v/>
      </c>
      <c r="AE191" s="79" t="str">
        <f>IF(AD191="","",IF(COUNTIF($AD$2:$AD$1000,AD191)&gt;1,"DUPLICADO NO TG",IF(COUNTIF('Bolsas e auxílios'!$J$5:$J$1000,AD191)=0,"FORA DO CONTROLE","LOCALIZADO")))</f>
        <v/>
      </c>
    </row>
    <row r="192" ht="15.75" customHeight="1"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9" t="str">
        <f t="shared" si="1"/>
        <v/>
      </c>
      <c r="AE192" s="79" t="str">
        <f>IF(AD192="","",IF(COUNTIF($AD$2:$AD$1000,AD192)&gt;1,"DUPLICADO NO TG",IF(COUNTIF('Bolsas e auxílios'!$J$5:$J$1000,AD192)=0,"FORA DO CONTROLE","LOCALIZADO")))</f>
        <v/>
      </c>
    </row>
    <row r="193" ht="15.75" customHeight="1"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9" t="str">
        <f t="shared" si="1"/>
        <v/>
      </c>
      <c r="AE193" s="79" t="str">
        <f>IF(AD193="","",IF(COUNTIF($AD$2:$AD$1000,AD193)&gt;1,"DUPLICADO NO TG",IF(COUNTIF('Bolsas e auxílios'!$J$5:$J$1000,AD193)=0,"FORA DO CONTROLE","LOCALIZADO")))</f>
        <v/>
      </c>
    </row>
    <row r="194" ht="15.75" customHeight="1"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9" t="str">
        <f t="shared" si="1"/>
        <v/>
      </c>
      <c r="AE194" s="79" t="str">
        <f>IF(AD194="","",IF(COUNTIF($AD$2:$AD$1000,AD194)&gt;1,"DUPLICADO NO TG",IF(COUNTIF('Bolsas e auxílios'!$J$5:$J$1000,AD194)=0,"FORA DO CONTROLE","LOCALIZADO")))</f>
        <v/>
      </c>
    </row>
    <row r="195" ht="15.75" customHeight="1"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9" t="str">
        <f t="shared" si="1"/>
        <v/>
      </c>
      <c r="AE195" s="79" t="str">
        <f>IF(AD195="","",IF(COUNTIF($AD$2:$AD$1000,AD195)&gt;1,"DUPLICADO NO TG",IF(COUNTIF('Bolsas e auxílios'!$J$5:$J$1000,AD195)=0,"FORA DO CONTROLE","LOCALIZADO")))</f>
        <v/>
      </c>
    </row>
    <row r="196" ht="15.75" customHeight="1"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9" t="str">
        <f t="shared" si="1"/>
        <v/>
      </c>
      <c r="AE196" s="79" t="str">
        <f>IF(AD196="","",IF(COUNTIF($AD$2:$AD$1000,AD196)&gt;1,"DUPLICADO NO TG",IF(COUNTIF('Bolsas e auxílios'!$J$5:$J$1000,AD196)=0,"FORA DO CONTROLE","LOCALIZADO")))</f>
        <v/>
      </c>
    </row>
    <row r="197" ht="15.75" customHeight="1"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9" t="str">
        <f t="shared" si="1"/>
        <v/>
      </c>
      <c r="AE197" s="79" t="str">
        <f>IF(AD197="","",IF(COUNTIF($AD$2:$AD$1000,AD197)&gt;1,"DUPLICADO NO TG",IF(COUNTIF('Bolsas e auxílios'!$J$5:$J$1000,AD197)=0,"FORA DO CONTROLE","LOCALIZADO")))</f>
        <v/>
      </c>
    </row>
    <row r="198" ht="15.75" customHeight="1"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9" t="str">
        <f t="shared" si="1"/>
        <v/>
      </c>
      <c r="AE198" s="79" t="str">
        <f>IF(AD198="","",IF(COUNTIF($AD$2:$AD$1000,AD198)&gt;1,"DUPLICADO NO TG",IF(COUNTIF('Bolsas e auxílios'!$J$5:$J$1000,AD198)=0,"FORA DO CONTROLE","LOCALIZADO")))</f>
        <v/>
      </c>
    </row>
    <row r="199" ht="15.75" customHeight="1"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9" t="str">
        <f t="shared" si="1"/>
        <v/>
      </c>
      <c r="AE199" s="79" t="str">
        <f>IF(AD199="","",IF(COUNTIF($AD$2:$AD$1000,AD199)&gt;1,"DUPLICADO NO TG",IF(COUNTIF('Bolsas e auxílios'!$J$5:$J$1000,AD199)=0,"FORA DO CONTROLE","LOCALIZADO")))</f>
        <v/>
      </c>
    </row>
    <row r="200" ht="15.75" customHeight="1"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9" t="str">
        <f t="shared" si="1"/>
        <v/>
      </c>
      <c r="AE200" s="79" t="str">
        <f>IF(AD200="","",IF(COUNTIF($AD$2:$AD$1000,AD200)&gt;1,"DUPLICADO NO TG",IF(COUNTIF('Bolsas e auxílios'!$J$5:$J$1000,AD200)=0,"FORA DO CONTROLE","LOCALIZADO")))</f>
        <v/>
      </c>
    </row>
    <row r="201" ht="15.75" customHeight="1"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9" t="str">
        <f t="shared" si="1"/>
        <v/>
      </c>
      <c r="AE201" s="79" t="str">
        <f>IF(AD201="","",IF(COUNTIF($AD$2:$AD$1000,AD201)&gt;1,"DUPLICADO NO TG",IF(COUNTIF('Bolsas e auxílios'!$J$5:$J$1000,AD201)=0,"FORA DO CONTROLE","LOCALIZADO")))</f>
        <v/>
      </c>
    </row>
    <row r="202" ht="15.75" customHeight="1"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9" t="str">
        <f t="shared" si="1"/>
        <v/>
      </c>
      <c r="AE202" s="79" t="str">
        <f>IF(AD202="","",IF(COUNTIF($AD$2:$AD$1000,AD202)&gt;1,"DUPLICADO NO TG",IF(COUNTIF('Bolsas e auxílios'!$J$5:$J$1000,AD202)=0,"FORA DO CONTROLE","LOCALIZADO")))</f>
        <v/>
      </c>
    </row>
    <row r="203" ht="15.75" customHeight="1"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9" t="str">
        <f t="shared" si="1"/>
        <v/>
      </c>
      <c r="AE203" s="79" t="str">
        <f>IF(AD203="","",IF(COUNTIF($AD$2:$AD$1000,AD203)&gt;1,"DUPLICADO NO TG",IF(COUNTIF('Bolsas e auxílios'!$J$5:$J$1000,AD203)=0,"FORA DO CONTROLE","LOCALIZADO")))</f>
        <v/>
      </c>
    </row>
    <row r="204" ht="15.75" customHeight="1"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9" t="str">
        <f t="shared" si="1"/>
        <v/>
      </c>
      <c r="AE204" s="79" t="str">
        <f>IF(AD204="","",IF(COUNTIF($AD$2:$AD$1000,AD204)&gt;1,"DUPLICADO NO TG",IF(COUNTIF('Bolsas e auxílios'!$J$5:$J$1000,AD204)=0,"FORA DO CONTROLE","LOCALIZADO")))</f>
        <v/>
      </c>
    </row>
    <row r="205" ht="15.75" customHeight="1"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9" t="str">
        <f t="shared" si="1"/>
        <v/>
      </c>
      <c r="AE205" s="79" t="str">
        <f>IF(AD205="","",IF(COUNTIF($AD$2:$AD$1000,AD205)&gt;1,"DUPLICADO NO TG",IF(COUNTIF('Bolsas e auxílios'!$J$5:$J$1000,AD205)=0,"FORA DO CONTROLE","LOCALIZADO")))</f>
        <v/>
      </c>
    </row>
    <row r="206" ht="15.75" customHeight="1"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9" t="str">
        <f t="shared" si="1"/>
        <v/>
      </c>
      <c r="AE206" s="79" t="str">
        <f>IF(AD206="","",IF(COUNTIF($AD$2:$AD$1000,AD206)&gt;1,"DUPLICADO NO TG",IF(COUNTIF('Bolsas e auxílios'!$J$5:$J$1000,AD206)=0,"FORA DO CONTROLE","LOCALIZADO")))</f>
        <v/>
      </c>
    </row>
    <row r="207" ht="15.75" customHeight="1"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9" t="str">
        <f t="shared" si="1"/>
        <v/>
      </c>
      <c r="AE207" s="79" t="str">
        <f>IF(AD207="","",IF(COUNTIF($AD$2:$AD$1000,AD207)&gt;1,"DUPLICADO NO TG",IF(COUNTIF('Bolsas e auxílios'!$J$5:$J$1000,AD207)=0,"FORA DO CONTROLE","LOCALIZADO")))</f>
        <v/>
      </c>
    </row>
    <row r="208" ht="15.75" customHeight="1"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9" t="str">
        <f t="shared" si="1"/>
        <v/>
      </c>
      <c r="AE208" s="79" t="str">
        <f>IF(AD208="","",IF(COUNTIF($AD$2:$AD$1000,AD208)&gt;1,"DUPLICADO NO TG",IF(COUNTIF('Bolsas e auxílios'!$J$5:$J$1000,AD208)=0,"FORA DO CONTROLE","LOCALIZADO")))</f>
        <v/>
      </c>
    </row>
    <row r="209" ht="15.75" customHeight="1"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9" t="str">
        <f t="shared" si="1"/>
        <v/>
      </c>
      <c r="AE209" s="79" t="str">
        <f>IF(AD209="","",IF(COUNTIF($AD$2:$AD$1000,AD209)&gt;1,"DUPLICADO NO TG",IF(COUNTIF('Bolsas e auxílios'!$J$5:$J$1000,AD209)=0,"FORA DO CONTROLE","LOCALIZADO")))</f>
        <v/>
      </c>
    </row>
    <row r="210" ht="15.75" customHeight="1"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9" t="str">
        <f t="shared" si="1"/>
        <v/>
      </c>
      <c r="AE210" s="79" t="str">
        <f>IF(AD210="","",IF(COUNTIF($AD$2:$AD$1000,AD210)&gt;1,"DUPLICADO NO TG",IF(COUNTIF('Bolsas e auxílios'!$J$5:$J$1000,AD210)=0,"FORA DO CONTROLE","LOCALIZADO")))</f>
        <v/>
      </c>
    </row>
    <row r="211" ht="15.75" customHeight="1"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9" t="str">
        <f t="shared" si="1"/>
        <v/>
      </c>
      <c r="AE211" s="79" t="str">
        <f>IF(AD211="","",IF(COUNTIF($AD$2:$AD$1000,AD211)&gt;1,"DUPLICADO NO TG",IF(COUNTIF('Bolsas e auxílios'!$J$5:$J$1000,AD211)=0,"FORA DO CONTROLE","LOCALIZADO")))</f>
        <v/>
      </c>
    </row>
    <row r="212" ht="15.75" customHeight="1"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9" t="str">
        <f t="shared" si="1"/>
        <v/>
      </c>
      <c r="AE212" s="79" t="str">
        <f>IF(AD212="","",IF(COUNTIF($AD$2:$AD$1000,AD212)&gt;1,"DUPLICADO NO TG",IF(COUNTIF('Bolsas e auxílios'!$J$5:$J$1000,AD212)=0,"FORA DO CONTROLE","LOCALIZADO")))</f>
        <v/>
      </c>
    </row>
    <row r="213" ht="15.75" customHeight="1"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9" t="str">
        <f t="shared" si="1"/>
        <v/>
      </c>
      <c r="AE213" s="79" t="str">
        <f>IF(AD213="","",IF(COUNTIF($AD$2:$AD$1000,AD213)&gt;1,"DUPLICADO NO TG",IF(COUNTIF('Bolsas e auxílios'!$J$5:$J$1000,AD213)=0,"FORA DO CONTROLE","LOCALIZADO")))</f>
        <v/>
      </c>
    </row>
    <row r="214" ht="15.75" customHeight="1"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9" t="str">
        <f t="shared" si="1"/>
        <v/>
      </c>
      <c r="AE214" s="79" t="str">
        <f>IF(AD214="","",IF(COUNTIF($AD$2:$AD$1000,AD214)&gt;1,"DUPLICADO NO TG",IF(COUNTIF('Bolsas e auxílios'!$J$5:$J$1000,AD214)=0,"FORA DO CONTROLE","LOCALIZADO")))</f>
        <v/>
      </c>
    </row>
    <row r="215" ht="15.75" customHeight="1"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9" t="str">
        <f t="shared" si="1"/>
        <v/>
      </c>
      <c r="AE215" s="79" t="str">
        <f>IF(AD215="","",IF(COUNTIF($AD$2:$AD$1000,AD215)&gt;1,"DUPLICADO NO TG",IF(COUNTIF('Bolsas e auxílios'!$J$5:$J$1000,AD215)=0,"FORA DO CONTROLE","LOCALIZADO")))</f>
        <v/>
      </c>
    </row>
    <row r="216" ht="15.75" customHeight="1"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9" t="str">
        <f t="shared" si="1"/>
        <v/>
      </c>
      <c r="AE216" s="79" t="str">
        <f>IF(AD216="","",IF(COUNTIF($AD$2:$AD$1000,AD216)&gt;1,"DUPLICADO NO TG",IF(COUNTIF('Bolsas e auxílios'!$J$5:$J$1000,AD216)=0,"FORA DO CONTROLE","LOCALIZADO")))</f>
        <v/>
      </c>
    </row>
    <row r="217" ht="15.75" customHeight="1"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9" t="str">
        <f t="shared" si="1"/>
        <v/>
      </c>
      <c r="AE217" s="79" t="str">
        <f>IF(AD217="","",IF(COUNTIF($AD$2:$AD$1000,AD217)&gt;1,"DUPLICADO NO TG",IF(COUNTIF('Bolsas e auxílios'!$J$5:$J$1000,AD217)=0,"FORA DO CONTROLE","LOCALIZADO")))</f>
        <v/>
      </c>
    </row>
    <row r="218" ht="15.75" customHeight="1"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9" t="str">
        <f t="shared" si="1"/>
        <v/>
      </c>
      <c r="AE218" s="79" t="str">
        <f>IF(AD218="","",IF(COUNTIF($AD$2:$AD$1000,AD218)&gt;1,"DUPLICADO NO TG",IF(COUNTIF('Bolsas e auxílios'!$J$5:$J$1000,AD218)=0,"FORA DO CONTROLE","LOCALIZADO")))</f>
        <v/>
      </c>
    </row>
    <row r="219" ht="15.75" customHeight="1"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9" t="str">
        <f t="shared" si="1"/>
        <v/>
      </c>
      <c r="AE219" s="79" t="str">
        <f>IF(AD219="","",IF(COUNTIF($AD$2:$AD$1000,AD219)&gt;1,"DUPLICADO NO TG",IF(COUNTIF('Bolsas e auxílios'!$J$5:$J$1000,AD219)=0,"FORA DO CONTROLE","LOCALIZADO")))</f>
        <v/>
      </c>
    </row>
    <row r="220" ht="15.75" customHeight="1"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9" t="str">
        <f t="shared" si="1"/>
        <v/>
      </c>
      <c r="AE220" s="79" t="str">
        <f>IF(AD220="","",IF(COUNTIF($AD$2:$AD$1000,AD220)&gt;1,"DUPLICADO NO TG",IF(COUNTIF('Bolsas e auxílios'!$J$5:$J$1000,AD220)=0,"FORA DO CONTROLE","LOCALIZADO")))</f>
        <v/>
      </c>
    </row>
    <row r="221" ht="15.75" customHeight="1"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9" t="str">
        <f t="shared" si="1"/>
        <v/>
      </c>
      <c r="AE221" s="79" t="str">
        <f>IF(AD221="","",IF(COUNTIF($AD$2:$AD$1000,AD221)&gt;1,"DUPLICADO NO TG",IF(COUNTIF('Bolsas e auxílios'!$J$5:$J$1000,AD221)=0,"FORA DO CONTROLE","LOCALIZADO")))</f>
        <v/>
      </c>
    </row>
    <row r="222" ht="15.75" customHeight="1"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9" t="str">
        <f t="shared" si="1"/>
        <v/>
      </c>
      <c r="AE222" s="79" t="str">
        <f>IF(AD222="","",IF(COUNTIF($AD$2:$AD$1000,AD222)&gt;1,"DUPLICADO NO TG",IF(COUNTIF('Bolsas e auxílios'!$J$5:$J$1000,AD222)=0,"FORA DO CONTROLE","LOCALIZADO")))</f>
        <v/>
      </c>
    </row>
    <row r="223" ht="15.75" customHeight="1"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9" t="str">
        <f t="shared" si="1"/>
        <v/>
      </c>
      <c r="AE223" s="79" t="str">
        <f>IF(AD223="","",IF(COUNTIF($AD$2:$AD$1000,AD223)&gt;1,"DUPLICADO NO TG",IF(COUNTIF('Bolsas e auxílios'!$J$5:$J$1000,AD223)=0,"FORA DO CONTROLE","LOCALIZADO")))</f>
        <v/>
      </c>
    </row>
    <row r="224" ht="15.75" customHeight="1"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9" t="str">
        <f t="shared" si="1"/>
        <v/>
      </c>
      <c r="AE224" s="79" t="str">
        <f>IF(AD224="","",IF(COUNTIF($AD$2:$AD$1000,AD224)&gt;1,"DUPLICADO NO TG",IF(COUNTIF('Bolsas e auxílios'!$J$5:$J$1000,AD224)=0,"FORA DO CONTROLE","LOCALIZADO")))</f>
        <v/>
      </c>
    </row>
    <row r="225" ht="15.75" customHeight="1"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9" t="str">
        <f t="shared" si="1"/>
        <v/>
      </c>
      <c r="AE225" s="79" t="str">
        <f>IF(AD225="","",IF(COUNTIF($AD$2:$AD$1000,AD225)&gt;1,"DUPLICADO NO TG",IF(COUNTIF('Bolsas e auxílios'!$J$5:$J$1000,AD225)=0,"FORA DO CONTROLE","LOCALIZADO")))</f>
        <v/>
      </c>
    </row>
    <row r="226" ht="15.75" customHeight="1"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9" t="str">
        <f t="shared" si="1"/>
        <v/>
      </c>
      <c r="AE226" s="79" t="str">
        <f>IF(AD226="","",IF(COUNTIF($AD$2:$AD$1000,AD226)&gt;1,"DUPLICADO NO TG",IF(COUNTIF('Bolsas e auxílios'!$J$5:$J$1000,AD226)=0,"FORA DO CONTROLE","LOCALIZADO")))</f>
        <v/>
      </c>
    </row>
    <row r="227" ht="15.75" customHeight="1"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9" t="str">
        <f t="shared" si="1"/>
        <v/>
      </c>
      <c r="AE227" s="79" t="str">
        <f>IF(AD227="","",IF(COUNTIF($AD$2:$AD$1000,AD227)&gt;1,"DUPLICADO NO TG",IF(COUNTIF('Bolsas e auxílios'!$J$5:$J$1000,AD227)=0,"FORA DO CONTROLE","LOCALIZADO")))</f>
        <v/>
      </c>
    </row>
    <row r="228" ht="15.75" customHeight="1"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9" t="str">
        <f t="shared" si="1"/>
        <v/>
      </c>
      <c r="AE228" s="79" t="str">
        <f>IF(AD228="","",IF(COUNTIF($AD$2:$AD$1000,AD228)&gt;1,"DUPLICADO NO TG",IF(COUNTIF('Bolsas e auxílios'!$J$5:$J$1000,AD228)=0,"FORA DO CONTROLE","LOCALIZADO")))</f>
        <v/>
      </c>
    </row>
    <row r="229" ht="15.75" customHeight="1"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9" t="str">
        <f t="shared" si="1"/>
        <v/>
      </c>
      <c r="AE229" s="79" t="str">
        <f>IF(AD229="","",IF(COUNTIF($AD$2:$AD$1000,AD229)&gt;1,"DUPLICADO NO TG",IF(COUNTIF('Bolsas e auxílios'!$J$5:$J$1000,AD229)=0,"FORA DO CONTROLE","LOCALIZADO")))</f>
        <v/>
      </c>
    </row>
    <row r="230" ht="15.75" customHeight="1"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9" t="str">
        <f t="shared" si="1"/>
        <v/>
      </c>
      <c r="AE230" s="79" t="str">
        <f>IF(AD230="","",IF(COUNTIF($AD$2:$AD$1000,AD230)&gt;1,"DUPLICADO NO TG",IF(COUNTIF('Bolsas e auxílios'!$J$5:$J$1000,AD230)=0,"FORA DO CONTROLE","LOCALIZADO")))</f>
        <v/>
      </c>
    </row>
    <row r="231" ht="15.75" customHeight="1"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9" t="str">
        <f t="shared" si="1"/>
        <v/>
      </c>
      <c r="AE231" s="79" t="str">
        <f>IF(AD231="","",IF(COUNTIF($AD$2:$AD$1000,AD231)&gt;1,"DUPLICADO NO TG",IF(COUNTIF('Bolsas e auxílios'!$J$5:$J$1000,AD231)=0,"FORA DO CONTROLE","LOCALIZADO")))</f>
        <v/>
      </c>
    </row>
    <row r="232" ht="15.75" customHeight="1"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9" t="str">
        <f t="shared" si="1"/>
        <v/>
      </c>
      <c r="AE232" s="79" t="str">
        <f>IF(AD232="","",IF(COUNTIF($AD$2:$AD$1000,AD232)&gt;1,"DUPLICADO NO TG",IF(COUNTIF('Bolsas e auxílios'!$J$5:$J$1000,AD232)=0,"FORA DO CONTROLE","LOCALIZADO")))</f>
        <v/>
      </c>
    </row>
    <row r="233" ht="15.75" customHeight="1"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9" t="str">
        <f t="shared" si="1"/>
        <v/>
      </c>
      <c r="AE233" s="79" t="str">
        <f>IF(AD233="","",IF(COUNTIF($AD$2:$AD$1000,AD233)&gt;1,"DUPLICADO NO TG",IF(COUNTIF('Bolsas e auxílios'!$J$5:$J$1000,AD233)=0,"FORA DO CONTROLE","LOCALIZADO")))</f>
        <v/>
      </c>
    </row>
    <row r="234" ht="15.75" customHeight="1"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9" t="str">
        <f t="shared" si="1"/>
        <v/>
      </c>
      <c r="AE234" s="79" t="str">
        <f>IF(AD234="","",IF(COUNTIF($AD$2:$AD$1000,AD234)&gt;1,"DUPLICADO NO TG",IF(COUNTIF('Bolsas e auxílios'!$J$5:$J$1000,AD234)=0,"FORA DO CONTROLE","LOCALIZADO")))</f>
        <v/>
      </c>
    </row>
    <row r="235" ht="15.75" customHeight="1"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9" t="str">
        <f t="shared" si="1"/>
        <v/>
      </c>
      <c r="AE235" s="79" t="str">
        <f>IF(AD235="","",IF(COUNTIF($AD$2:$AD$1000,AD235)&gt;1,"DUPLICADO NO TG",IF(COUNTIF('Bolsas e auxílios'!$J$5:$J$1000,AD235)=0,"FORA DO CONTROLE","LOCALIZADO")))</f>
        <v/>
      </c>
    </row>
    <row r="236" ht="15.75" customHeight="1"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9" t="str">
        <f t="shared" si="1"/>
        <v/>
      </c>
      <c r="AE236" s="79" t="str">
        <f>IF(AD236="","",IF(COUNTIF($AD$2:$AD$1000,AD236)&gt;1,"DUPLICADO NO TG",IF(COUNTIF('Bolsas e auxílios'!$J$5:$J$1000,AD236)=0,"FORA DO CONTROLE","LOCALIZADO")))</f>
        <v/>
      </c>
    </row>
    <row r="237" ht="15.75" customHeight="1"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9" t="str">
        <f t="shared" si="1"/>
        <v/>
      </c>
      <c r="AE237" s="79" t="str">
        <f>IF(AD237="","",IF(COUNTIF($AD$2:$AD$1000,AD237)&gt;1,"DUPLICADO NO TG",IF(COUNTIF('Bolsas e auxílios'!$J$5:$J$1000,AD237)=0,"FORA DO CONTROLE","LOCALIZADO")))</f>
        <v/>
      </c>
    </row>
    <row r="238" ht="15.75" customHeight="1"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9" t="str">
        <f t="shared" si="1"/>
        <v/>
      </c>
      <c r="AE238" s="79" t="str">
        <f>IF(AD238="","",IF(COUNTIF($AD$2:$AD$1000,AD238)&gt;1,"DUPLICADO NO TG",IF(COUNTIF('Bolsas e auxílios'!$J$5:$J$1000,AD238)=0,"FORA DO CONTROLE","LOCALIZADO")))</f>
        <v/>
      </c>
    </row>
    <row r="239" ht="15.75" customHeight="1"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9" t="str">
        <f t="shared" si="1"/>
        <v/>
      </c>
      <c r="AE239" s="79" t="str">
        <f>IF(AD239="","",IF(COUNTIF($AD$2:$AD$1000,AD239)&gt;1,"DUPLICADO NO TG",IF(COUNTIF('Bolsas e auxílios'!$J$5:$J$1000,AD239)=0,"FORA DO CONTROLE","LOCALIZADO")))</f>
        <v/>
      </c>
    </row>
    <row r="240" ht="15.75" customHeight="1"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9" t="str">
        <f t="shared" si="1"/>
        <v/>
      </c>
      <c r="AE240" s="79" t="str">
        <f>IF(AD240="","",IF(COUNTIF($AD$2:$AD$1000,AD240)&gt;1,"DUPLICADO NO TG",IF(COUNTIF('Bolsas e auxílios'!$J$5:$J$1000,AD240)=0,"FORA DO CONTROLE","LOCALIZADO")))</f>
        <v/>
      </c>
    </row>
    <row r="241" ht="15.75" customHeight="1"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9" t="str">
        <f t="shared" si="1"/>
        <v/>
      </c>
      <c r="AE241" s="79" t="str">
        <f>IF(AD241="","",IF(COUNTIF($AD$2:$AD$1000,AD241)&gt;1,"DUPLICADO NO TG",IF(COUNTIF('Bolsas e auxílios'!$J$5:$J$1000,AD241)=0,"FORA DO CONTROLE","LOCALIZADO")))</f>
        <v/>
      </c>
    </row>
    <row r="242" ht="15.75" customHeight="1"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9" t="str">
        <f t="shared" si="1"/>
        <v/>
      </c>
      <c r="AE242" s="79" t="str">
        <f>IF(AD242="","",IF(COUNTIF($AD$2:$AD$1000,AD242)&gt;1,"DUPLICADO NO TG",IF(COUNTIF('Bolsas e auxílios'!$J$5:$J$1000,AD242)=0,"FORA DO CONTROLE","LOCALIZADO")))</f>
        <v/>
      </c>
    </row>
    <row r="243" ht="15.75" customHeight="1"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9" t="str">
        <f t="shared" si="1"/>
        <v/>
      </c>
      <c r="AE243" s="79" t="str">
        <f>IF(AD243="","",IF(COUNTIF($AD$2:$AD$1000,AD243)&gt;1,"DUPLICADO NO TG",IF(COUNTIF('Bolsas e auxílios'!$J$5:$J$1000,AD243)=0,"FORA DO CONTROLE","LOCALIZADO")))</f>
        <v/>
      </c>
    </row>
    <row r="244" ht="15.75" customHeight="1"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9" t="str">
        <f t="shared" si="1"/>
        <v/>
      </c>
      <c r="AE244" s="79" t="str">
        <f>IF(AD244="","",IF(COUNTIF($AD$2:$AD$1000,AD244)&gt;1,"DUPLICADO NO TG",IF(COUNTIF('Bolsas e auxílios'!$J$5:$J$1000,AD244)=0,"FORA DO CONTROLE","LOCALIZADO")))</f>
        <v/>
      </c>
    </row>
    <row r="245" ht="15.75" customHeight="1"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9" t="str">
        <f t="shared" si="1"/>
        <v/>
      </c>
      <c r="AE245" s="79" t="str">
        <f>IF(AD245="","",IF(COUNTIF($AD$2:$AD$1000,AD245)&gt;1,"DUPLICADO NO TG",IF(COUNTIF('Bolsas e auxílios'!$J$5:$J$1000,AD245)=0,"FORA DO CONTROLE","LOCALIZADO")))</f>
        <v/>
      </c>
    </row>
    <row r="246" ht="15.75" customHeight="1"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9" t="str">
        <f t="shared" si="1"/>
        <v/>
      </c>
      <c r="AE246" s="79" t="str">
        <f>IF(AD246="","",IF(COUNTIF($AD$2:$AD$1000,AD246)&gt;1,"DUPLICADO NO TG",IF(COUNTIF('Bolsas e auxílios'!$J$5:$J$1000,AD246)=0,"FORA DO CONTROLE","LOCALIZADO")))</f>
        <v/>
      </c>
    </row>
    <row r="247" ht="15.75" customHeight="1"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9" t="str">
        <f t="shared" si="1"/>
        <v/>
      </c>
      <c r="AE247" s="79" t="str">
        <f>IF(AD247="","",IF(COUNTIF($AD$2:$AD$1000,AD247)&gt;1,"DUPLICADO NO TG",IF(COUNTIF('Bolsas e auxílios'!$J$5:$J$1000,AD247)=0,"FORA DO CONTROLE","LOCALIZADO")))</f>
        <v/>
      </c>
    </row>
    <row r="248" ht="15.75" customHeight="1"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9" t="str">
        <f t="shared" si="1"/>
        <v/>
      </c>
      <c r="AE248" s="79" t="str">
        <f>IF(AD248="","",IF(COUNTIF($AD$2:$AD$1000,AD248)&gt;1,"DUPLICADO NO TG",IF(COUNTIF('Bolsas e auxílios'!$J$5:$J$1000,AD248)=0,"FORA DO CONTROLE","LOCALIZADO")))</f>
        <v/>
      </c>
    </row>
    <row r="249" ht="15.75" customHeight="1"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9" t="str">
        <f t="shared" si="1"/>
        <v/>
      </c>
      <c r="AE249" s="79" t="str">
        <f>IF(AD249="","",IF(COUNTIF($AD$2:$AD$1000,AD249)&gt;1,"DUPLICADO NO TG",IF(COUNTIF('Bolsas e auxílios'!$J$5:$J$1000,AD249)=0,"FORA DO CONTROLE","LOCALIZADO")))</f>
        <v/>
      </c>
    </row>
    <row r="250" ht="15.75" customHeight="1"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9" t="str">
        <f t="shared" si="1"/>
        <v/>
      </c>
      <c r="AE250" s="79" t="str">
        <f>IF(AD250="","",IF(COUNTIF($AD$2:$AD$1000,AD250)&gt;1,"DUPLICADO NO TG",IF(COUNTIF('Bolsas e auxílios'!$J$5:$J$1000,AD250)=0,"FORA DO CONTROLE","LOCALIZADO")))</f>
        <v/>
      </c>
    </row>
    <row r="251" ht="15.75" customHeight="1"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9" t="str">
        <f t="shared" si="1"/>
        <v/>
      </c>
      <c r="AE251" s="79" t="str">
        <f>IF(AD251="","",IF(COUNTIF($AD$2:$AD$1000,AD251)&gt;1,"DUPLICADO NO TG",IF(COUNTIF('Bolsas e auxílios'!$J$5:$J$1000,AD251)=0,"FORA DO CONTROLE","LOCALIZADO")))</f>
        <v/>
      </c>
    </row>
    <row r="252" ht="15.75" customHeight="1"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9" t="str">
        <f t="shared" si="1"/>
        <v/>
      </c>
      <c r="AE252" s="79" t="str">
        <f>IF(AD252="","",IF(COUNTIF($AD$2:$AD$1000,AD252)&gt;1,"DUPLICADO NO TG",IF(COUNTIF('Bolsas e auxílios'!$J$5:$J$1000,AD252)=0,"FORA DO CONTROLE","LOCALIZADO")))</f>
        <v/>
      </c>
    </row>
    <row r="253" ht="15.75" customHeight="1"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9" t="str">
        <f t="shared" si="1"/>
        <v/>
      </c>
      <c r="AE253" s="79" t="str">
        <f>IF(AD253="","",IF(COUNTIF($AD$2:$AD$1000,AD253)&gt;1,"DUPLICADO NO TG",IF(COUNTIF('Bolsas e auxílios'!$J$5:$J$1000,AD253)=0,"FORA DO CONTROLE","LOCALIZADO")))</f>
        <v/>
      </c>
    </row>
    <row r="254" ht="15.75" customHeight="1"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9" t="str">
        <f t="shared" si="1"/>
        <v/>
      </c>
      <c r="AE254" s="79" t="str">
        <f>IF(AD254="","",IF(COUNTIF($AD$2:$AD$1000,AD254)&gt;1,"DUPLICADO NO TG",IF(COUNTIF('Bolsas e auxílios'!$J$5:$J$1000,AD254)=0,"FORA DO CONTROLE","LOCALIZADO")))</f>
        <v/>
      </c>
    </row>
    <row r="255" ht="15.75" customHeight="1"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9" t="str">
        <f t="shared" si="1"/>
        <v/>
      </c>
      <c r="AE255" s="79" t="str">
        <f>IF(AD255="","",IF(COUNTIF($AD$2:$AD$1000,AD255)&gt;1,"DUPLICADO NO TG",IF(COUNTIF('Bolsas e auxílios'!$J$5:$J$1000,AD255)=0,"FORA DO CONTROLE","LOCALIZADO")))</f>
        <v/>
      </c>
    </row>
    <row r="256" ht="15.75" customHeight="1"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9" t="str">
        <f t="shared" si="1"/>
        <v/>
      </c>
      <c r="AE256" s="79" t="str">
        <f>IF(AD256="","",IF(COUNTIF($AD$2:$AD$1000,AD256)&gt;1,"DUPLICADO NO TG",IF(COUNTIF('Bolsas e auxílios'!$J$5:$J$1000,AD256)=0,"FORA DO CONTROLE","LOCALIZADO")))</f>
        <v/>
      </c>
    </row>
    <row r="257" ht="15.75" customHeight="1"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9" t="str">
        <f t="shared" si="1"/>
        <v/>
      </c>
      <c r="AE257" s="79" t="str">
        <f>IF(AD257="","",IF(COUNTIF($AD$2:$AD$1000,AD257)&gt;1,"DUPLICADO NO TG",IF(COUNTIF('Bolsas e auxílios'!$J$5:$J$1000,AD257)=0,"FORA DO CONTROLE","LOCALIZADO")))</f>
        <v/>
      </c>
    </row>
    <row r="258" ht="15.75" customHeight="1"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9" t="str">
        <f t="shared" si="1"/>
        <v/>
      </c>
      <c r="AE258" s="79" t="str">
        <f>IF(AD258="","",IF(COUNTIF($AD$2:$AD$1000,AD258)&gt;1,"DUPLICADO NO TG",IF(COUNTIF('Bolsas e auxílios'!$J$5:$J$1000,AD258)=0,"FORA DO CONTROLE","LOCALIZADO")))</f>
        <v/>
      </c>
    </row>
    <row r="259" ht="15.75" customHeight="1"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9" t="str">
        <f t="shared" si="1"/>
        <v/>
      </c>
      <c r="AE259" s="79" t="str">
        <f>IF(AD259="","",IF(COUNTIF($AD$2:$AD$1000,AD259)&gt;1,"DUPLICADO NO TG",IF(COUNTIF('Bolsas e auxílios'!$J$5:$J$1000,AD259)=0,"FORA DO CONTROLE","LOCALIZADO")))</f>
        <v/>
      </c>
    </row>
    <row r="260" ht="15.75" customHeight="1"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9" t="str">
        <f t="shared" si="1"/>
        <v/>
      </c>
      <c r="AE260" s="79" t="str">
        <f>IF(AD260="","",IF(COUNTIF($AD$2:$AD$1000,AD260)&gt;1,"DUPLICADO NO TG",IF(COUNTIF('Bolsas e auxílios'!$J$5:$J$1000,AD260)=0,"FORA DO CONTROLE","LOCALIZADO")))</f>
        <v/>
      </c>
    </row>
    <row r="261" ht="15.75" customHeight="1"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9" t="str">
        <f t="shared" si="1"/>
        <v/>
      </c>
      <c r="AE261" s="79" t="str">
        <f>IF(AD261="","",IF(COUNTIF($AD$2:$AD$1000,AD261)&gt;1,"DUPLICADO NO TG",IF(COUNTIF('Bolsas e auxílios'!$J$5:$J$1000,AD261)=0,"FORA DO CONTROLE","LOCALIZADO")))</f>
        <v/>
      </c>
    </row>
    <row r="262" ht="15.75" customHeight="1"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9" t="str">
        <f t="shared" si="1"/>
        <v/>
      </c>
      <c r="AE262" s="79" t="str">
        <f>IF(AD262="","",IF(COUNTIF($AD$2:$AD$1000,AD262)&gt;1,"DUPLICADO NO TG",IF(COUNTIF('Bolsas e auxílios'!$J$5:$J$1000,AD262)=0,"FORA DO CONTROLE","LOCALIZADO")))</f>
        <v/>
      </c>
    </row>
    <row r="263" ht="15.75" customHeight="1"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9" t="str">
        <f t="shared" si="1"/>
        <v/>
      </c>
      <c r="AE263" s="79" t="str">
        <f>IF(AD263="","",IF(COUNTIF($AD$2:$AD$1000,AD263)&gt;1,"DUPLICADO NO TG",IF(COUNTIF('Bolsas e auxílios'!$J$5:$J$1000,AD263)=0,"FORA DO CONTROLE","LOCALIZADO")))</f>
        <v/>
      </c>
    </row>
    <row r="264" ht="15.75" customHeight="1"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9" t="str">
        <f t="shared" si="1"/>
        <v/>
      </c>
      <c r="AE264" s="79" t="str">
        <f>IF(AD264="","",IF(COUNTIF($AD$2:$AD$1000,AD264)&gt;1,"DUPLICADO NO TG",IF(COUNTIF('Bolsas e auxílios'!$J$5:$J$1000,AD264)=0,"FORA DO CONTROLE","LOCALIZADO")))</f>
        <v/>
      </c>
    </row>
    <row r="265" ht="15.75" customHeight="1"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9" t="str">
        <f t="shared" si="1"/>
        <v/>
      </c>
      <c r="AE265" s="79" t="str">
        <f>IF(AD265="","",IF(COUNTIF($AD$2:$AD$1000,AD265)&gt;1,"DUPLICADO NO TG",IF(COUNTIF('Bolsas e auxílios'!$J$5:$J$1000,AD265)=0,"FORA DO CONTROLE","LOCALIZADO")))</f>
        <v/>
      </c>
    </row>
    <row r="266" ht="15.75" customHeight="1"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9" t="str">
        <f t="shared" si="1"/>
        <v/>
      </c>
      <c r="AE266" s="79" t="str">
        <f>IF(AD266="","",IF(COUNTIF($AD$2:$AD$1000,AD266)&gt;1,"DUPLICADO NO TG",IF(COUNTIF('Bolsas e auxílios'!$J$5:$J$1000,AD266)=0,"FORA DO CONTROLE","LOCALIZADO")))</f>
        <v/>
      </c>
    </row>
    <row r="267" ht="15.75" customHeight="1"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9" t="str">
        <f t="shared" si="1"/>
        <v/>
      </c>
      <c r="AE267" s="79" t="str">
        <f>IF(AD267="","",IF(COUNTIF($AD$2:$AD$1000,AD267)&gt;1,"DUPLICADO NO TG",IF(COUNTIF('Bolsas e auxílios'!$J$5:$J$1000,AD267)=0,"FORA DO CONTROLE","LOCALIZADO")))</f>
        <v/>
      </c>
    </row>
    <row r="268" ht="15.75" customHeight="1"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9" t="str">
        <f t="shared" si="1"/>
        <v/>
      </c>
      <c r="AE268" s="79" t="str">
        <f>IF(AD268="","",IF(COUNTIF($AD$2:$AD$1000,AD268)&gt;1,"DUPLICADO NO TG",IF(COUNTIF('Bolsas e auxílios'!$J$5:$J$1000,AD268)=0,"FORA DO CONTROLE","LOCALIZADO")))</f>
        <v/>
      </c>
    </row>
    <row r="269" ht="15.75" customHeight="1"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9" t="str">
        <f t="shared" si="1"/>
        <v/>
      </c>
      <c r="AE269" s="79" t="str">
        <f>IF(AD269="","",IF(COUNTIF($AD$2:$AD$1000,AD269)&gt;1,"DUPLICADO NO TG",IF(COUNTIF('Bolsas e auxílios'!$J$5:$J$1000,AD269)=0,"FORA DO CONTROLE","LOCALIZADO")))</f>
        <v/>
      </c>
    </row>
    <row r="270" ht="15.75" customHeight="1"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9" t="str">
        <f t="shared" si="1"/>
        <v/>
      </c>
      <c r="AE270" s="79" t="str">
        <f>IF(AD270="","",IF(COUNTIF($AD$2:$AD$1000,AD270)&gt;1,"DUPLICADO NO TG",IF(COUNTIF('Bolsas e auxílios'!$J$5:$J$1000,AD270)=0,"FORA DO CONTROLE","LOCALIZADO")))</f>
        <v/>
      </c>
    </row>
    <row r="271" ht="15.75" customHeight="1"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9" t="str">
        <f t="shared" si="1"/>
        <v/>
      </c>
      <c r="AE271" s="79" t="str">
        <f>IF(AD271="","",IF(COUNTIF($AD$2:$AD$1000,AD271)&gt;1,"DUPLICADO NO TG",IF(COUNTIF('Bolsas e auxílios'!$J$5:$J$1000,AD271)=0,"FORA DO CONTROLE","LOCALIZADO")))</f>
        <v/>
      </c>
    </row>
    <row r="272" ht="15.75" customHeight="1"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9" t="str">
        <f t="shared" si="1"/>
        <v/>
      </c>
      <c r="AE272" s="79" t="str">
        <f>IF(AD272="","",IF(COUNTIF($AD$2:$AD$1000,AD272)&gt;1,"DUPLICADO NO TG",IF(COUNTIF('Bolsas e auxílios'!$J$5:$J$1000,AD272)=0,"FORA DO CONTROLE","LOCALIZADO")))</f>
        <v/>
      </c>
    </row>
    <row r="273" ht="15.75" customHeight="1"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9" t="str">
        <f t="shared" si="1"/>
        <v/>
      </c>
      <c r="AE273" s="79" t="str">
        <f>IF(AD273="","",IF(COUNTIF($AD$2:$AD$1000,AD273)&gt;1,"DUPLICADO NO TG",IF(COUNTIF('Bolsas e auxílios'!$J$5:$J$1000,AD273)=0,"FORA DO CONTROLE","LOCALIZADO")))</f>
        <v/>
      </c>
    </row>
    <row r="274" ht="15.75" customHeight="1"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9" t="str">
        <f t="shared" si="1"/>
        <v/>
      </c>
      <c r="AE274" s="79" t="str">
        <f>IF(AD274="","",IF(COUNTIF($AD$2:$AD$1000,AD274)&gt;1,"DUPLICADO NO TG",IF(COUNTIF('Bolsas e auxílios'!$J$5:$J$1000,AD274)=0,"FORA DO CONTROLE","LOCALIZADO")))</f>
        <v/>
      </c>
    </row>
    <row r="275" ht="15.75" customHeight="1"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9" t="str">
        <f t="shared" si="1"/>
        <v/>
      </c>
      <c r="AE275" s="79" t="str">
        <f>IF(AD275="","",IF(COUNTIF($AD$2:$AD$1000,AD275)&gt;1,"DUPLICADO NO TG",IF(COUNTIF('Bolsas e auxílios'!$J$5:$J$1000,AD275)=0,"FORA DO CONTROLE","LOCALIZADO")))</f>
        <v/>
      </c>
    </row>
    <row r="276" ht="15.75" customHeight="1"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9" t="str">
        <f t="shared" si="1"/>
        <v/>
      </c>
      <c r="AE276" s="79" t="str">
        <f>IF(AD276="","",IF(COUNTIF($AD$2:$AD$1000,AD276)&gt;1,"DUPLICADO NO TG",IF(COUNTIF('Bolsas e auxílios'!$J$5:$J$1000,AD276)=0,"FORA DO CONTROLE","LOCALIZADO")))</f>
        <v/>
      </c>
    </row>
    <row r="277" ht="15.75" customHeight="1"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9" t="str">
        <f t="shared" si="1"/>
        <v/>
      </c>
      <c r="AE277" s="79" t="str">
        <f>IF(AD277="","",IF(COUNTIF($AD$2:$AD$1000,AD277)&gt;1,"DUPLICADO NO TG",IF(COUNTIF('Bolsas e auxílios'!$J$5:$J$1000,AD277)=0,"FORA DO CONTROLE","LOCALIZADO")))</f>
        <v/>
      </c>
    </row>
    <row r="278" ht="15.75" customHeight="1"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9" t="str">
        <f t="shared" si="1"/>
        <v/>
      </c>
      <c r="AE278" s="79" t="str">
        <f>IF(AD278="","",IF(COUNTIF($AD$2:$AD$1000,AD278)&gt;1,"DUPLICADO NO TG",IF(COUNTIF('Bolsas e auxílios'!$J$5:$J$1000,AD278)=0,"FORA DO CONTROLE","LOCALIZADO")))</f>
        <v/>
      </c>
    </row>
    <row r="279" ht="15.75" customHeight="1"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9" t="str">
        <f t="shared" si="1"/>
        <v/>
      </c>
      <c r="AE279" s="79" t="str">
        <f>IF(AD279="","",IF(COUNTIF($AD$2:$AD$1000,AD279)&gt;1,"DUPLICADO NO TG",IF(COUNTIF('Bolsas e auxílios'!$J$5:$J$1000,AD279)=0,"FORA DO CONTROLE","LOCALIZADO")))</f>
        <v/>
      </c>
    </row>
    <row r="280" ht="15.75" customHeight="1"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9" t="str">
        <f t="shared" si="1"/>
        <v/>
      </c>
      <c r="AE280" s="79" t="str">
        <f>IF(AD280="","",IF(COUNTIF($AD$2:$AD$1000,AD280)&gt;1,"DUPLICADO NO TG",IF(COUNTIF('Bolsas e auxílios'!$J$5:$J$1000,AD280)=0,"FORA DO CONTROLE","LOCALIZADO")))</f>
        <v/>
      </c>
    </row>
    <row r="281" ht="15.75" customHeight="1"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9" t="str">
        <f t="shared" si="1"/>
        <v/>
      </c>
      <c r="AE281" s="79" t="str">
        <f>IF(AD281="","",IF(COUNTIF($AD$2:$AD$1000,AD281)&gt;1,"DUPLICADO NO TG",IF(COUNTIF('Bolsas e auxílios'!$J$5:$J$1000,AD281)=0,"FORA DO CONTROLE","LOCALIZADO")))</f>
        <v/>
      </c>
    </row>
    <row r="282" ht="15.75" customHeight="1"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9" t="str">
        <f t="shared" si="1"/>
        <v/>
      </c>
      <c r="AE282" s="79" t="str">
        <f>IF(AD282="","",IF(COUNTIF($AD$2:$AD$1000,AD282)&gt;1,"DUPLICADO NO TG",IF(COUNTIF('Bolsas e auxílios'!$J$5:$J$1000,AD282)=0,"FORA DO CONTROLE","LOCALIZADO")))</f>
        <v/>
      </c>
    </row>
    <row r="283" ht="15.75" customHeight="1"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9" t="str">
        <f t="shared" si="1"/>
        <v/>
      </c>
      <c r="AE283" s="79" t="str">
        <f>IF(AD283="","",IF(COUNTIF($AD$2:$AD$1000,AD283)&gt;1,"DUPLICADO NO TG",IF(COUNTIF('Bolsas e auxílios'!$J$5:$J$1000,AD283)=0,"FORA DO CONTROLE","LOCALIZADO")))</f>
        <v/>
      </c>
    </row>
    <row r="284" ht="15.75" customHeight="1"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9" t="str">
        <f t="shared" si="1"/>
        <v/>
      </c>
      <c r="AE284" s="79" t="str">
        <f>IF(AD284="","",IF(COUNTIF($AD$2:$AD$1000,AD284)&gt;1,"DUPLICADO NO TG",IF(COUNTIF('Bolsas e auxílios'!$J$5:$J$1000,AD284)=0,"FORA DO CONTROLE","LOCALIZADO")))</f>
        <v/>
      </c>
    </row>
    <row r="285" ht="15.75" customHeight="1"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9" t="str">
        <f t="shared" si="1"/>
        <v/>
      </c>
      <c r="AE285" s="79" t="str">
        <f>IF(AD285="","",IF(COUNTIF($AD$2:$AD$1000,AD285)&gt;1,"DUPLICADO NO TG",IF(COUNTIF('Bolsas e auxílios'!$J$5:$J$1000,AD285)=0,"FORA DO CONTROLE","LOCALIZADO")))</f>
        <v/>
      </c>
    </row>
    <row r="286" ht="15.75" customHeight="1"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9" t="str">
        <f t="shared" si="1"/>
        <v/>
      </c>
      <c r="AE286" s="79" t="str">
        <f>IF(AD286="","",IF(COUNTIF($AD$2:$AD$1000,AD286)&gt;1,"DUPLICADO NO TG",IF(COUNTIF('Bolsas e auxílios'!$J$5:$J$1000,AD286)=0,"FORA DO CONTROLE","LOCALIZADO")))</f>
        <v/>
      </c>
    </row>
    <row r="287" ht="15.75" customHeight="1"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9" t="str">
        <f t="shared" si="1"/>
        <v/>
      </c>
      <c r="AE287" s="79" t="str">
        <f>IF(AD287="","",IF(COUNTIF($AD$2:$AD$1000,AD287)&gt;1,"DUPLICADO NO TG",IF(COUNTIF('Bolsas e auxílios'!$J$5:$J$1000,AD287)=0,"FORA DO CONTROLE","LOCALIZADO")))</f>
        <v/>
      </c>
    </row>
    <row r="288" ht="15.75" customHeight="1"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9" t="str">
        <f t="shared" si="1"/>
        <v/>
      </c>
      <c r="AE288" s="79" t="str">
        <f>IF(AD288="","",IF(COUNTIF($AD$2:$AD$1000,AD288)&gt;1,"DUPLICADO NO TG",IF(COUNTIF('Bolsas e auxílios'!$J$5:$J$1000,AD288)=0,"FORA DO CONTROLE","LOCALIZADO")))</f>
        <v/>
      </c>
    </row>
    <row r="289" ht="15.75" customHeight="1"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9" t="str">
        <f t="shared" si="1"/>
        <v/>
      </c>
      <c r="AE289" s="79" t="str">
        <f>IF(AD289="","",IF(COUNTIF($AD$2:$AD$1000,AD289)&gt;1,"DUPLICADO NO TG",IF(COUNTIF('Bolsas e auxílios'!$J$5:$J$1000,AD289)=0,"FORA DO CONTROLE","LOCALIZADO")))</f>
        <v/>
      </c>
    </row>
    <row r="290" ht="15.75" customHeight="1"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9" t="str">
        <f t="shared" si="1"/>
        <v/>
      </c>
      <c r="AE290" s="79" t="str">
        <f>IF(AD290="","",IF(COUNTIF($AD$2:$AD$1000,AD290)&gt;1,"DUPLICADO NO TG",IF(COUNTIF('Bolsas e auxílios'!$J$5:$J$1000,AD290)=0,"FORA DO CONTROLE","LOCALIZADO")))</f>
        <v/>
      </c>
    </row>
    <row r="291" ht="15.75" customHeight="1"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9" t="str">
        <f t="shared" si="1"/>
        <v/>
      </c>
      <c r="AE291" s="79" t="str">
        <f>IF(AD291="","",IF(COUNTIF($AD$2:$AD$1000,AD291)&gt;1,"DUPLICADO NO TG",IF(COUNTIF('Bolsas e auxílios'!$J$5:$J$1000,AD291)=0,"FORA DO CONTROLE","LOCALIZADO")))</f>
        <v/>
      </c>
    </row>
    <row r="292" ht="15.75" customHeight="1"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9" t="str">
        <f t="shared" si="1"/>
        <v/>
      </c>
      <c r="AE292" s="79" t="str">
        <f>IF(AD292="","",IF(COUNTIF($AD$2:$AD$1000,AD292)&gt;1,"DUPLICADO NO TG",IF(COUNTIF('Bolsas e auxílios'!$J$5:$J$1000,AD292)=0,"FORA DO CONTROLE","LOCALIZADO")))</f>
        <v/>
      </c>
    </row>
    <row r="293" ht="15.75" customHeight="1"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9" t="str">
        <f t="shared" si="1"/>
        <v/>
      </c>
      <c r="AE293" s="79" t="str">
        <f>IF(AD293="","",IF(COUNTIF($AD$2:$AD$1000,AD293)&gt;1,"DUPLICADO NO TG",IF(COUNTIF('Bolsas e auxílios'!$J$5:$J$1000,AD293)=0,"FORA DO CONTROLE","LOCALIZADO")))</f>
        <v/>
      </c>
    </row>
    <row r="294" ht="15.75" customHeight="1"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9" t="str">
        <f t="shared" si="1"/>
        <v/>
      </c>
      <c r="AE294" s="79" t="str">
        <f>IF(AD294="","",IF(COUNTIF($AD$2:$AD$1000,AD294)&gt;1,"DUPLICADO NO TG",IF(COUNTIF('Bolsas e auxílios'!$J$5:$J$1000,AD294)=0,"FORA DO CONTROLE","LOCALIZADO")))</f>
        <v/>
      </c>
    </row>
    <row r="295" ht="15.75" customHeight="1"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9" t="str">
        <f t="shared" si="1"/>
        <v/>
      </c>
      <c r="AE295" s="79" t="str">
        <f>IF(AD295="","",IF(COUNTIF($AD$2:$AD$1000,AD295)&gt;1,"DUPLICADO NO TG",IF(COUNTIF('Bolsas e auxílios'!$J$5:$J$1000,AD295)=0,"FORA DO CONTROLE","LOCALIZADO")))</f>
        <v/>
      </c>
    </row>
    <row r="296" ht="15.75" customHeight="1"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9" t="str">
        <f t="shared" si="1"/>
        <v/>
      </c>
      <c r="AE296" s="79" t="str">
        <f>IF(AD296="","",IF(COUNTIF($AD$2:$AD$1000,AD296)&gt;1,"DUPLICADO NO TG",IF(COUNTIF('Bolsas e auxílios'!$J$5:$J$1000,AD296)=0,"FORA DO CONTROLE","LOCALIZADO")))</f>
        <v/>
      </c>
    </row>
    <row r="297" ht="15.75" customHeight="1"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9" t="str">
        <f t="shared" si="1"/>
        <v/>
      </c>
      <c r="AE297" s="79" t="str">
        <f>IF(AD297="","",IF(COUNTIF($AD$2:$AD$1000,AD297)&gt;1,"DUPLICADO NO TG",IF(COUNTIF('Bolsas e auxílios'!$J$5:$J$1000,AD297)=0,"FORA DO CONTROLE","LOCALIZADO")))</f>
        <v/>
      </c>
    </row>
    <row r="298" ht="15.75" customHeight="1"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9" t="str">
        <f t="shared" si="1"/>
        <v/>
      </c>
      <c r="AE298" s="79" t="str">
        <f>IF(AD298="","",IF(COUNTIF($AD$2:$AD$1000,AD298)&gt;1,"DUPLICADO NO TG",IF(COUNTIF('Bolsas e auxílios'!$J$5:$J$1000,AD298)=0,"FORA DO CONTROLE","LOCALIZADO")))</f>
        <v/>
      </c>
    </row>
    <row r="299" ht="15.75" customHeight="1"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9" t="str">
        <f t="shared" si="1"/>
        <v/>
      </c>
      <c r="AE299" s="79" t="str">
        <f>IF(AD299="","",IF(COUNTIF($AD$2:$AD$1000,AD299)&gt;1,"DUPLICADO NO TG",IF(COUNTIF('Bolsas e auxílios'!$J$5:$J$1000,AD299)=0,"FORA DO CONTROLE","LOCALIZADO")))</f>
        <v/>
      </c>
    </row>
    <row r="300" ht="15.75" customHeight="1"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9" t="str">
        <f t="shared" si="1"/>
        <v/>
      </c>
      <c r="AE300" s="79" t="str">
        <f>IF(AD300="","",IF(COUNTIF($AD$2:$AD$1000,AD300)&gt;1,"DUPLICADO NO TG",IF(COUNTIF('Bolsas e auxílios'!$J$5:$J$1000,AD300)=0,"FORA DO CONTROLE","LOCALIZADO")))</f>
        <v/>
      </c>
    </row>
    <row r="301" ht="15.75" customHeight="1"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9" t="str">
        <f t="shared" si="1"/>
        <v/>
      </c>
      <c r="AE301" s="79" t="str">
        <f>IF(AD301="","",IF(COUNTIF($AD$2:$AD$1000,AD301)&gt;1,"DUPLICADO NO TG",IF(COUNTIF('Bolsas e auxílios'!$J$5:$J$1000,AD301)=0,"FORA DO CONTROLE","LOCALIZADO")))</f>
        <v/>
      </c>
    </row>
    <row r="302" ht="15.75" customHeight="1"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9" t="str">
        <f t="shared" si="1"/>
        <v/>
      </c>
      <c r="AE302" s="79" t="str">
        <f>IF(AD302="","",IF(COUNTIF($AD$2:$AD$1000,AD302)&gt;1,"DUPLICADO NO TG",IF(COUNTIF('Bolsas e auxílios'!$J$5:$J$1000,AD302)=0,"FORA DO CONTROLE","LOCALIZADO")))</f>
        <v/>
      </c>
    </row>
    <row r="303" ht="15.75" customHeight="1"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9" t="str">
        <f t="shared" si="1"/>
        <v/>
      </c>
      <c r="AE303" s="79" t="str">
        <f>IF(AD303="","",IF(COUNTIF($AD$2:$AD$1000,AD303)&gt;1,"DUPLICADO NO TG",IF(COUNTIF('Bolsas e auxílios'!$J$5:$J$1000,AD303)=0,"FORA DO CONTROLE","LOCALIZADO")))</f>
        <v/>
      </c>
    </row>
    <row r="304" ht="15.75" customHeight="1"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9" t="str">
        <f t="shared" si="1"/>
        <v/>
      </c>
      <c r="AE304" s="79" t="str">
        <f>IF(AD304="","",IF(COUNTIF($AD$2:$AD$1000,AD304)&gt;1,"DUPLICADO NO TG",IF(COUNTIF('Bolsas e auxílios'!$J$5:$J$1000,AD304)=0,"FORA DO CONTROLE","LOCALIZADO")))</f>
        <v/>
      </c>
    </row>
    <row r="305" ht="15.75" customHeight="1"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9" t="str">
        <f t="shared" si="1"/>
        <v/>
      </c>
      <c r="AE305" s="79" t="str">
        <f>IF(AD305="","",IF(COUNTIF($AD$2:$AD$1000,AD305)&gt;1,"DUPLICADO NO TG",IF(COUNTIF('Bolsas e auxílios'!$J$5:$J$1000,AD305)=0,"FORA DO CONTROLE","LOCALIZADO")))</f>
        <v/>
      </c>
    </row>
    <row r="306" ht="15.75" customHeight="1"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9" t="str">
        <f t="shared" si="1"/>
        <v/>
      </c>
      <c r="AE306" s="79" t="str">
        <f>IF(AD306="","",IF(COUNTIF($AD$2:$AD$1000,AD306)&gt;1,"DUPLICADO NO TG",IF(COUNTIF('Bolsas e auxílios'!$J$5:$J$1000,AD306)=0,"FORA DO CONTROLE","LOCALIZADO")))</f>
        <v/>
      </c>
    </row>
    <row r="307" ht="15.75" customHeight="1"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9" t="str">
        <f t="shared" si="1"/>
        <v/>
      </c>
      <c r="AE307" s="79" t="str">
        <f>IF(AD307="","",IF(COUNTIF($AD$2:$AD$1000,AD307)&gt;1,"DUPLICADO NO TG",IF(COUNTIF('Bolsas e auxílios'!$J$5:$J$1000,AD307)=0,"FORA DO CONTROLE","LOCALIZADO")))</f>
        <v/>
      </c>
    </row>
    <row r="308" ht="15.75" customHeight="1"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9" t="str">
        <f t="shared" si="1"/>
        <v/>
      </c>
      <c r="AE308" s="79" t="str">
        <f>IF(AD308="","",IF(COUNTIF($AD$2:$AD$1000,AD308)&gt;1,"DUPLICADO NO TG",IF(COUNTIF('Bolsas e auxílios'!$J$5:$J$1000,AD308)=0,"FORA DO CONTROLE","LOCALIZADO")))</f>
        <v/>
      </c>
    </row>
    <row r="309" ht="15.75" customHeight="1"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9" t="str">
        <f t="shared" si="1"/>
        <v/>
      </c>
      <c r="AE309" s="79" t="str">
        <f>IF(AD309="","",IF(COUNTIF($AD$2:$AD$1000,AD309)&gt;1,"DUPLICADO NO TG",IF(COUNTIF('Bolsas e auxílios'!$J$5:$J$1000,AD309)=0,"FORA DO CONTROLE","LOCALIZADO")))</f>
        <v/>
      </c>
    </row>
    <row r="310" ht="15.75" customHeight="1"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9" t="str">
        <f t="shared" si="1"/>
        <v/>
      </c>
      <c r="AE310" s="79" t="str">
        <f>IF(AD310="","",IF(COUNTIF($AD$2:$AD$1000,AD310)&gt;1,"DUPLICADO NO TG",IF(COUNTIF('Bolsas e auxílios'!$J$5:$J$1000,AD310)=0,"FORA DO CONTROLE","LOCALIZADO")))</f>
        <v/>
      </c>
    </row>
    <row r="311" ht="15.75" customHeight="1"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9" t="str">
        <f t="shared" si="1"/>
        <v/>
      </c>
      <c r="AE311" s="79" t="str">
        <f>IF(AD311="","",IF(COUNTIF($AD$2:$AD$1000,AD311)&gt;1,"DUPLICADO NO TG",IF(COUNTIF('Bolsas e auxílios'!$J$5:$J$1000,AD311)=0,"FORA DO CONTROLE","LOCALIZADO")))</f>
        <v/>
      </c>
    </row>
    <row r="312" ht="15.75" customHeight="1"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9" t="str">
        <f t="shared" si="1"/>
        <v/>
      </c>
      <c r="AE312" s="79" t="str">
        <f>IF(AD312="","",IF(COUNTIF($AD$2:$AD$1000,AD312)&gt;1,"DUPLICADO NO TG",IF(COUNTIF('Bolsas e auxílios'!$J$5:$J$1000,AD312)=0,"FORA DO CONTROLE","LOCALIZADO")))</f>
        <v/>
      </c>
    </row>
    <row r="313" ht="15.75" customHeight="1"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9" t="str">
        <f t="shared" si="1"/>
        <v/>
      </c>
      <c r="AE313" s="79" t="str">
        <f>IF(AD313="","",IF(COUNTIF($AD$2:$AD$1000,AD313)&gt;1,"DUPLICADO NO TG",IF(COUNTIF('Bolsas e auxílios'!$J$5:$J$1000,AD313)=0,"FORA DO CONTROLE","LOCALIZADO")))</f>
        <v/>
      </c>
    </row>
    <row r="314" ht="15.75" customHeight="1"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9" t="str">
        <f t="shared" si="1"/>
        <v/>
      </c>
      <c r="AE314" s="79" t="str">
        <f>IF(AD314="","",IF(COUNTIF($AD$2:$AD$1000,AD314)&gt;1,"DUPLICADO NO TG",IF(COUNTIF('Bolsas e auxílios'!$J$5:$J$1000,AD314)=0,"FORA DO CONTROLE","LOCALIZADO")))</f>
        <v/>
      </c>
    </row>
    <row r="315" ht="15.75" customHeight="1"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9" t="str">
        <f t="shared" si="1"/>
        <v/>
      </c>
      <c r="AE315" s="79" t="str">
        <f>IF(AD315="","",IF(COUNTIF($AD$2:$AD$1000,AD315)&gt;1,"DUPLICADO NO TG",IF(COUNTIF('Bolsas e auxílios'!$J$5:$J$1000,AD315)=0,"FORA DO CONTROLE","LOCALIZADO")))</f>
        <v/>
      </c>
    </row>
    <row r="316" ht="15.75" customHeight="1"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9" t="str">
        <f t="shared" si="1"/>
        <v/>
      </c>
      <c r="AE316" s="79" t="str">
        <f>IF(AD316="","",IF(COUNTIF($AD$2:$AD$1000,AD316)&gt;1,"DUPLICADO NO TG",IF(COUNTIF('Bolsas e auxílios'!$J$5:$J$1000,AD316)=0,"FORA DO CONTROLE","LOCALIZADO")))</f>
        <v/>
      </c>
    </row>
    <row r="317" ht="15.75" customHeight="1"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9" t="str">
        <f t="shared" si="1"/>
        <v/>
      </c>
      <c r="AE317" s="79" t="str">
        <f>IF(AD317="","",IF(COUNTIF($AD$2:$AD$1000,AD317)&gt;1,"DUPLICADO NO TG",IF(COUNTIF('Bolsas e auxílios'!$J$5:$J$1000,AD317)=0,"FORA DO CONTROLE","LOCALIZADO")))</f>
        <v/>
      </c>
    </row>
    <row r="318" ht="15.75" customHeight="1"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9" t="str">
        <f t="shared" si="1"/>
        <v/>
      </c>
      <c r="AE318" s="79" t="str">
        <f>IF(AD318="","",IF(COUNTIF($AD$2:$AD$1000,AD318)&gt;1,"DUPLICADO NO TG",IF(COUNTIF('Bolsas e auxílios'!$J$5:$J$1000,AD318)=0,"FORA DO CONTROLE","LOCALIZADO")))</f>
        <v/>
      </c>
    </row>
    <row r="319" ht="15.75" customHeight="1"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9" t="str">
        <f t="shared" si="1"/>
        <v/>
      </c>
      <c r="AE319" s="79" t="str">
        <f>IF(AD319="","",IF(COUNTIF($AD$2:$AD$1000,AD319)&gt;1,"DUPLICADO NO TG",IF(COUNTIF('Bolsas e auxílios'!$J$5:$J$1000,AD319)=0,"FORA DO CONTROLE","LOCALIZADO")))</f>
        <v/>
      </c>
    </row>
    <row r="320" ht="15.75" customHeight="1"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9" t="str">
        <f t="shared" si="1"/>
        <v/>
      </c>
      <c r="AE320" s="79" t="str">
        <f>IF(AD320="","",IF(COUNTIF($AD$2:$AD$1000,AD320)&gt;1,"DUPLICADO NO TG",IF(COUNTIF('Bolsas e auxílios'!$J$5:$J$1000,AD320)=0,"FORA DO CONTROLE","LOCALIZADO")))</f>
        <v/>
      </c>
    </row>
    <row r="321" ht="15.75" customHeight="1"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9" t="str">
        <f t="shared" si="1"/>
        <v/>
      </c>
      <c r="AE321" s="79" t="str">
        <f>IF(AD321="","",IF(COUNTIF($AD$2:$AD$1000,AD321)&gt;1,"DUPLICADO NO TG",IF(COUNTIF('Bolsas e auxílios'!$J$5:$J$1000,AD321)=0,"FORA DO CONTROLE","LOCALIZADO")))</f>
        <v/>
      </c>
    </row>
    <row r="322" ht="15.75" customHeight="1"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9" t="str">
        <f t="shared" si="1"/>
        <v/>
      </c>
      <c r="AE322" s="79" t="str">
        <f>IF(AD322="","",IF(COUNTIF($AD$2:$AD$1000,AD322)&gt;1,"DUPLICADO NO TG",IF(COUNTIF('Bolsas e auxílios'!$J$5:$J$1000,AD322)=0,"FORA DO CONTROLE","LOCALIZADO")))</f>
        <v/>
      </c>
    </row>
    <row r="323" ht="15.75" customHeight="1"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9" t="str">
        <f t="shared" si="1"/>
        <v/>
      </c>
      <c r="AE323" s="79" t="str">
        <f>IF(AD323="","",IF(COUNTIF($AD$2:$AD$1000,AD323)&gt;1,"DUPLICADO NO TG",IF(COUNTIF('Bolsas e auxílios'!$J$5:$J$1000,AD323)=0,"FORA DO CONTROLE","LOCALIZADO")))</f>
        <v/>
      </c>
    </row>
    <row r="324" ht="15.75" customHeight="1"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9" t="str">
        <f t="shared" si="1"/>
        <v/>
      </c>
      <c r="AE324" s="79" t="str">
        <f>IF(AD324="","",IF(COUNTIF($AD$2:$AD$1000,AD324)&gt;1,"DUPLICADO NO TG",IF(COUNTIF('Bolsas e auxílios'!$J$5:$J$1000,AD324)=0,"FORA DO CONTROLE","LOCALIZADO")))</f>
        <v/>
      </c>
    </row>
    <row r="325" ht="15.75" customHeight="1"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9" t="str">
        <f t="shared" si="1"/>
        <v/>
      </c>
      <c r="AE325" s="79" t="str">
        <f>IF(AD325="","",IF(COUNTIF($AD$2:$AD$1000,AD325)&gt;1,"DUPLICADO NO TG",IF(COUNTIF('Bolsas e auxílios'!$J$5:$J$1000,AD325)=0,"FORA DO CONTROLE","LOCALIZADO")))</f>
        <v/>
      </c>
    </row>
    <row r="326" ht="15.75" customHeight="1"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9" t="str">
        <f t="shared" si="1"/>
        <v/>
      </c>
      <c r="AE326" s="79" t="str">
        <f>IF(AD326="","",IF(COUNTIF($AD$2:$AD$1000,AD326)&gt;1,"DUPLICADO NO TG",IF(COUNTIF('Bolsas e auxílios'!$J$5:$J$1000,AD326)=0,"FORA DO CONTROLE","LOCALIZADO")))</f>
        <v/>
      </c>
    </row>
    <row r="327" ht="15.75" customHeight="1"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9" t="str">
        <f t="shared" si="1"/>
        <v/>
      </c>
      <c r="AE327" s="79" t="str">
        <f>IF(AD327="","",IF(COUNTIF($AD$2:$AD$1000,AD327)&gt;1,"DUPLICADO NO TG",IF(COUNTIF('Bolsas e auxílios'!$J$5:$J$1000,AD327)=0,"FORA DO CONTROLE","LOCALIZADO")))</f>
        <v/>
      </c>
    </row>
    <row r="328" ht="15.75" customHeight="1"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9" t="str">
        <f t="shared" si="1"/>
        <v/>
      </c>
      <c r="AE328" s="79" t="str">
        <f>IF(AD328="","",IF(COUNTIF($AD$2:$AD$1000,AD328)&gt;1,"DUPLICADO NO TG",IF(COUNTIF('Bolsas e auxílios'!$J$5:$J$1000,AD328)=0,"FORA DO CONTROLE","LOCALIZADO")))</f>
        <v/>
      </c>
    </row>
    <row r="329" ht="15.75" customHeight="1"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9" t="str">
        <f t="shared" si="1"/>
        <v/>
      </c>
      <c r="AE329" s="79" t="str">
        <f>IF(AD329="","",IF(COUNTIF($AD$2:$AD$1000,AD329)&gt;1,"DUPLICADO NO TG",IF(COUNTIF('Bolsas e auxílios'!$J$5:$J$1000,AD329)=0,"FORA DO CONTROLE","LOCALIZADO")))</f>
        <v/>
      </c>
    </row>
    <row r="330" ht="15.75" customHeight="1"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9" t="str">
        <f t="shared" si="1"/>
        <v/>
      </c>
      <c r="AE330" s="79" t="str">
        <f>IF(AD330="","",IF(COUNTIF($AD$2:$AD$1000,AD330)&gt;1,"DUPLICADO NO TG",IF(COUNTIF('Bolsas e auxílios'!$J$5:$J$1000,AD330)=0,"FORA DO CONTROLE","LOCALIZADO")))</f>
        <v/>
      </c>
    </row>
    <row r="331" ht="15.75" customHeight="1"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9" t="str">
        <f t="shared" si="1"/>
        <v/>
      </c>
      <c r="AE331" s="79" t="str">
        <f>IF(AD331="","",IF(COUNTIF($AD$2:$AD$1000,AD331)&gt;1,"DUPLICADO NO TG",IF(COUNTIF('Bolsas e auxílios'!$J$5:$J$1000,AD331)=0,"FORA DO CONTROLE","LOCALIZADO")))</f>
        <v/>
      </c>
    </row>
    <row r="332" ht="15.75" customHeight="1"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9" t="str">
        <f t="shared" si="1"/>
        <v/>
      </c>
      <c r="AE332" s="79" t="str">
        <f>IF(AD332="","",IF(COUNTIF($AD$2:$AD$1000,AD332)&gt;1,"DUPLICADO NO TG",IF(COUNTIF('Bolsas e auxílios'!$J$5:$J$1000,AD332)=0,"FORA DO CONTROLE","LOCALIZADO")))</f>
        <v/>
      </c>
    </row>
    <row r="333" ht="15.75" customHeight="1"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9" t="str">
        <f t="shared" si="1"/>
        <v/>
      </c>
      <c r="AE333" s="79" t="str">
        <f>IF(AD333="","",IF(COUNTIF($AD$2:$AD$1000,AD333)&gt;1,"DUPLICADO NO TG",IF(COUNTIF('Bolsas e auxílios'!$J$5:$J$1000,AD333)=0,"FORA DO CONTROLE","LOCALIZADO")))</f>
        <v/>
      </c>
    </row>
    <row r="334" ht="15.75" customHeight="1"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9" t="str">
        <f t="shared" si="1"/>
        <v/>
      </c>
      <c r="AE334" s="79" t="str">
        <f>IF(AD334="","",IF(COUNTIF($AD$2:$AD$1000,AD334)&gt;1,"DUPLICADO NO TG",IF(COUNTIF('Bolsas e auxílios'!$J$5:$J$1000,AD334)=0,"FORA DO CONTROLE","LOCALIZADO")))</f>
        <v/>
      </c>
    </row>
    <row r="335" ht="15.75" customHeight="1"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9" t="str">
        <f t="shared" si="1"/>
        <v/>
      </c>
      <c r="AE335" s="79" t="str">
        <f>IF(AD335="","",IF(COUNTIF($AD$2:$AD$1000,AD335)&gt;1,"DUPLICADO NO TG",IF(COUNTIF('Bolsas e auxílios'!$J$5:$J$1000,AD335)=0,"FORA DO CONTROLE","LOCALIZADO")))</f>
        <v/>
      </c>
    </row>
    <row r="336" ht="15.75" customHeight="1"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9" t="str">
        <f t="shared" si="1"/>
        <v/>
      </c>
      <c r="AE336" s="79" t="str">
        <f>IF(AD336="","",IF(COUNTIF($AD$2:$AD$1000,AD336)&gt;1,"DUPLICADO NO TG",IF(COUNTIF('Bolsas e auxílios'!$J$5:$J$1000,AD336)=0,"FORA DO CONTROLE","LOCALIZADO")))</f>
        <v/>
      </c>
    </row>
    <row r="337" ht="15.75" customHeight="1"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9" t="str">
        <f t="shared" si="1"/>
        <v/>
      </c>
      <c r="AE337" s="79" t="str">
        <f>IF(AD337="","",IF(COUNTIF($AD$2:$AD$1000,AD337)&gt;1,"DUPLICADO NO TG",IF(COUNTIF('Bolsas e auxílios'!$J$5:$J$1000,AD337)=0,"FORA DO CONTROLE","LOCALIZADO")))</f>
        <v/>
      </c>
    </row>
    <row r="338" ht="15.75" customHeight="1"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9" t="str">
        <f t="shared" si="1"/>
        <v/>
      </c>
      <c r="AE338" s="79" t="str">
        <f>IF(AD338="","",IF(COUNTIF($AD$2:$AD$1000,AD338)&gt;1,"DUPLICADO NO TG",IF(COUNTIF('Bolsas e auxílios'!$J$5:$J$1000,AD338)=0,"FORA DO CONTROLE","LOCALIZADO")))</f>
        <v/>
      </c>
    </row>
    <row r="339" ht="15.75" customHeight="1"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9" t="str">
        <f t="shared" si="1"/>
        <v/>
      </c>
      <c r="AE339" s="79" t="str">
        <f>IF(AD339="","",IF(COUNTIF($AD$2:$AD$1000,AD339)&gt;1,"DUPLICADO NO TG",IF(COUNTIF('Bolsas e auxílios'!$J$5:$J$1000,AD339)=0,"FORA DO CONTROLE","LOCALIZADO")))</f>
        <v/>
      </c>
    </row>
    <row r="340" ht="15.75" customHeight="1"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9" t="str">
        <f t="shared" si="1"/>
        <v/>
      </c>
      <c r="AE340" s="79" t="str">
        <f>IF(AD340="","",IF(COUNTIF($AD$2:$AD$1000,AD340)&gt;1,"DUPLICADO NO TG",IF(COUNTIF('Bolsas e auxílios'!$J$5:$J$1000,AD340)=0,"FORA DO CONTROLE","LOCALIZADO")))</f>
        <v/>
      </c>
    </row>
    <row r="341" ht="15.75" customHeight="1"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9" t="str">
        <f t="shared" si="1"/>
        <v/>
      </c>
      <c r="AE341" s="79" t="str">
        <f>IF(AD341="","",IF(COUNTIF($AD$2:$AD$1000,AD341)&gt;1,"DUPLICADO NO TG",IF(COUNTIF('Bolsas e auxílios'!$J$5:$J$1000,AD341)=0,"FORA DO CONTROLE","LOCALIZADO")))</f>
        <v/>
      </c>
    </row>
    <row r="342" ht="15.75" customHeight="1"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9" t="str">
        <f t="shared" si="1"/>
        <v/>
      </c>
      <c r="AE342" s="79" t="str">
        <f>IF(AD342="","",IF(COUNTIF($AD$2:$AD$1000,AD342)&gt;1,"DUPLICADO NO TG",IF(COUNTIF('Bolsas e auxílios'!$J$5:$J$1000,AD342)=0,"FORA DO CONTROLE","LOCALIZADO")))</f>
        <v/>
      </c>
    </row>
    <row r="343" ht="15.75" customHeight="1"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9" t="str">
        <f t="shared" si="1"/>
        <v/>
      </c>
      <c r="AE343" s="79" t="str">
        <f>IF(AD343="","",IF(COUNTIF($AD$2:$AD$1000,AD343)&gt;1,"DUPLICADO NO TG",IF(COUNTIF('Bolsas e auxílios'!$J$5:$J$1000,AD343)=0,"FORA DO CONTROLE","LOCALIZADO")))</f>
        <v/>
      </c>
    </row>
    <row r="344" ht="15.75" customHeight="1"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9" t="str">
        <f t="shared" si="1"/>
        <v/>
      </c>
      <c r="AE344" s="79" t="str">
        <f>IF(AD344="","",IF(COUNTIF($AD$2:$AD$1000,AD344)&gt;1,"DUPLICADO NO TG",IF(COUNTIF('Bolsas e auxílios'!$J$5:$J$1000,AD344)=0,"FORA DO CONTROLE","LOCALIZADO")))</f>
        <v/>
      </c>
    </row>
    <row r="345" ht="15.75" customHeight="1"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9" t="str">
        <f t="shared" si="1"/>
        <v/>
      </c>
      <c r="AE345" s="79" t="str">
        <f>IF(AD345="","",IF(COUNTIF($AD$2:$AD$1000,AD345)&gt;1,"DUPLICADO NO TG",IF(COUNTIF('Bolsas e auxílios'!$J$5:$J$1000,AD345)=0,"FORA DO CONTROLE","LOCALIZADO")))</f>
        <v/>
      </c>
    </row>
    <row r="346" ht="15.75" customHeight="1"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9" t="str">
        <f t="shared" si="1"/>
        <v/>
      </c>
      <c r="AE346" s="79" t="str">
        <f>IF(AD346="","",IF(COUNTIF($AD$2:$AD$1000,AD346)&gt;1,"DUPLICADO NO TG",IF(COUNTIF('Bolsas e auxílios'!$J$5:$J$1000,AD346)=0,"FORA DO CONTROLE","LOCALIZADO")))</f>
        <v/>
      </c>
    </row>
    <row r="347" ht="15.75" customHeight="1"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9" t="str">
        <f t="shared" si="1"/>
        <v/>
      </c>
      <c r="AE347" s="79" t="str">
        <f>IF(AD347="","",IF(COUNTIF($AD$2:$AD$1000,AD347)&gt;1,"DUPLICADO NO TG",IF(COUNTIF('Bolsas e auxílios'!$J$5:$J$1000,AD347)=0,"FORA DO CONTROLE","LOCALIZADO")))</f>
        <v/>
      </c>
    </row>
    <row r="348" ht="15.75" customHeight="1"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9" t="str">
        <f t="shared" si="1"/>
        <v/>
      </c>
      <c r="AE348" s="79" t="str">
        <f>IF(AD348="","",IF(COUNTIF($AD$2:$AD$1000,AD348)&gt;1,"DUPLICADO NO TG",IF(COUNTIF('Bolsas e auxílios'!$J$5:$J$1000,AD348)=0,"FORA DO CONTROLE","LOCALIZADO")))</f>
        <v/>
      </c>
    </row>
    <row r="349" ht="15.75" customHeight="1"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9" t="str">
        <f t="shared" si="1"/>
        <v/>
      </c>
      <c r="AE349" s="79" t="str">
        <f>IF(AD349="","",IF(COUNTIF($AD$2:$AD$1000,AD349)&gt;1,"DUPLICADO NO TG",IF(COUNTIF('Bolsas e auxílios'!$J$5:$J$1000,AD349)=0,"FORA DO CONTROLE","LOCALIZADO")))</f>
        <v/>
      </c>
    </row>
    <row r="350" ht="15.75" customHeight="1"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9" t="str">
        <f t="shared" si="1"/>
        <v/>
      </c>
      <c r="AE350" s="79" t="str">
        <f>IF(AD350="","",IF(COUNTIF($AD$2:$AD$1000,AD350)&gt;1,"DUPLICADO NO TG",IF(COUNTIF('Bolsas e auxílios'!$J$5:$J$1000,AD350)=0,"FORA DO CONTROLE","LOCALIZADO")))</f>
        <v/>
      </c>
    </row>
    <row r="351" ht="15.75" customHeight="1"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9" t="str">
        <f t="shared" si="1"/>
        <v/>
      </c>
      <c r="AE351" s="79" t="str">
        <f>IF(AD351="","",IF(COUNTIF($AD$2:$AD$1000,AD351)&gt;1,"DUPLICADO NO TG",IF(COUNTIF('Bolsas e auxílios'!$J$5:$J$1000,AD351)=0,"FORA DO CONTROLE","LOCALIZADO")))</f>
        <v/>
      </c>
    </row>
    <row r="352" ht="15.75" customHeight="1"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9" t="str">
        <f t="shared" si="1"/>
        <v/>
      </c>
      <c r="AE352" s="79" t="str">
        <f>IF(AD352="","",IF(COUNTIF($AD$2:$AD$1000,AD352)&gt;1,"DUPLICADO NO TG",IF(COUNTIF('Bolsas e auxílios'!$J$5:$J$1000,AD352)=0,"FORA DO CONTROLE","LOCALIZADO")))</f>
        <v/>
      </c>
    </row>
    <row r="353" ht="15.75" customHeight="1"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9" t="str">
        <f t="shared" si="1"/>
        <v/>
      </c>
      <c r="AE353" s="79" t="str">
        <f>IF(AD353="","",IF(COUNTIF($AD$2:$AD$1000,AD353)&gt;1,"DUPLICADO NO TG",IF(COUNTIF('Bolsas e auxílios'!$J$5:$J$1000,AD353)=0,"FORA DO CONTROLE","LOCALIZADO")))</f>
        <v/>
      </c>
    </row>
    <row r="354" ht="15.75" customHeight="1"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9" t="str">
        <f t="shared" si="1"/>
        <v/>
      </c>
      <c r="AE354" s="79" t="str">
        <f>IF(AD354="","",IF(COUNTIF($AD$2:$AD$1000,AD354)&gt;1,"DUPLICADO NO TG",IF(COUNTIF('Bolsas e auxílios'!$J$5:$J$1000,AD354)=0,"FORA DO CONTROLE","LOCALIZADO")))</f>
        <v/>
      </c>
    </row>
    <row r="355" ht="15.75" customHeight="1"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9" t="str">
        <f t="shared" si="1"/>
        <v/>
      </c>
      <c r="AE355" s="79" t="str">
        <f>IF(AD355="","",IF(COUNTIF($AD$2:$AD$1000,AD355)&gt;1,"DUPLICADO NO TG",IF(COUNTIF('Bolsas e auxílios'!$J$5:$J$1000,AD355)=0,"FORA DO CONTROLE","LOCALIZADO")))</f>
        <v/>
      </c>
    </row>
    <row r="356" ht="15.75" customHeight="1"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9" t="str">
        <f t="shared" si="1"/>
        <v/>
      </c>
      <c r="AE356" s="79" t="str">
        <f>IF(AD356="","",IF(COUNTIF($AD$2:$AD$1000,AD356)&gt;1,"DUPLICADO NO TG",IF(COUNTIF('Bolsas e auxílios'!$J$5:$J$1000,AD356)=0,"FORA DO CONTROLE","LOCALIZADO")))</f>
        <v/>
      </c>
    </row>
    <row r="357" ht="15.75" customHeight="1"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9" t="str">
        <f t="shared" si="1"/>
        <v/>
      </c>
      <c r="AE357" s="79" t="str">
        <f>IF(AD357="","",IF(COUNTIF($AD$2:$AD$1000,AD357)&gt;1,"DUPLICADO NO TG",IF(COUNTIF('Bolsas e auxílios'!$J$5:$J$1000,AD357)=0,"FORA DO CONTROLE","LOCALIZADO")))</f>
        <v/>
      </c>
    </row>
    <row r="358" ht="15.75" customHeight="1"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9" t="str">
        <f t="shared" si="1"/>
        <v/>
      </c>
      <c r="AE358" s="79" t="str">
        <f>IF(AD358="","",IF(COUNTIF($AD$2:$AD$1000,AD358)&gt;1,"DUPLICADO NO TG",IF(COUNTIF('Bolsas e auxílios'!$J$5:$J$1000,AD358)=0,"FORA DO CONTROLE","LOCALIZADO")))</f>
        <v/>
      </c>
    </row>
    <row r="359" ht="15.75" customHeight="1"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9" t="str">
        <f t="shared" si="1"/>
        <v/>
      </c>
      <c r="AE359" s="79" t="str">
        <f>IF(AD359="","",IF(COUNTIF($AD$2:$AD$1000,AD359)&gt;1,"DUPLICADO NO TG",IF(COUNTIF('Bolsas e auxílios'!$J$5:$J$1000,AD359)=0,"FORA DO CONTROLE","LOCALIZADO")))</f>
        <v/>
      </c>
    </row>
    <row r="360" ht="15.75" customHeight="1"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9" t="str">
        <f t="shared" si="1"/>
        <v/>
      </c>
      <c r="AE360" s="79" t="str">
        <f>IF(AD360="","",IF(COUNTIF($AD$2:$AD$1000,AD360)&gt;1,"DUPLICADO NO TG",IF(COUNTIF('Bolsas e auxílios'!$J$5:$J$1000,AD360)=0,"FORA DO CONTROLE","LOCALIZADO")))</f>
        <v/>
      </c>
    </row>
    <row r="361" ht="15.75" customHeight="1"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9" t="str">
        <f t="shared" si="1"/>
        <v/>
      </c>
      <c r="AE361" s="79" t="str">
        <f>IF(AD361="","",IF(COUNTIF($AD$2:$AD$1000,AD361)&gt;1,"DUPLICADO NO TG",IF(COUNTIF('Bolsas e auxílios'!$J$5:$J$1000,AD361)=0,"FORA DO CONTROLE","LOCALIZADO")))</f>
        <v/>
      </c>
    </row>
    <row r="362" ht="15.75" customHeight="1"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9" t="str">
        <f t="shared" si="1"/>
        <v/>
      </c>
      <c r="AE362" s="79" t="str">
        <f>IF(AD362="","",IF(COUNTIF($AD$2:$AD$1000,AD362)&gt;1,"DUPLICADO NO TG",IF(COUNTIF('Bolsas e auxílios'!$J$5:$J$1000,AD362)=0,"FORA DO CONTROLE","LOCALIZADO")))</f>
        <v/>
      </c>
    </row>
    <row r="363" ht="15.75" customHeight="1"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9" t="str">
        <f t="shared" si="1"/>
        <v/>
      </c>
      <c r="AE363" s="79" t="str">
        <f>IF(AD363="","",IF(COUNTIF($AD$2:$AD$1000,AD363)&gt;1,"DUPLICADO NO TG",IF(COUNTIF('Bolsas e auxílios'!$J$5:$J$1000,AD363)=0,"FORA DO CONTROLE","LOCALIZADO")))</f>
        <v/>
      </c>
    </row>
    <row r="364" ht="15.75" customHeight="1"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9" t="str">
        <f t="shared" si="1"/>
        <v/>
      </c>
      <c r="AE364" s="79" t="str">
        <f>IF(AD364="","",IF(COUNTIF($AD$2:$AD$1000,AD364)&gt;1,"DUPLICADO NO TG",IF(COUNTIF('Bolsas e auxílios'!$J$5:$J$1000,AD364)=0,"FORA DO CONTROLE","LOCALIZADO")))</f>
        <v/>
      </c>
    </row>
    <row r="365" ht="15.75" customHeight="1"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9" t="str">
        <f t="shared" si="1"/>
        <v/>
      </c>
      <c r="AE365" s="79" t="str">
        <f>IF(AD365="","",IF(COUNTIF($AD$2:$AD$1000,AD365)&gt;1,"DUPLICADO NO TG",IF(COUNTIF('Bolsas e auxílios'!$J$5:$J$1000,AD365)=0,"FORA DO CONTROLE","LOCALIZADO")))</f>
        <v/>
      </c>
    </row>
    <row r="366" ht="15.75" customHeight="1"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9" t="str">
        <f t="shared" si="1"/>
        <v/>
      </c>
      <c r="AE366" s="79" t="str">
        <f>IF(AD366="","",IF(COUNTIF($AD$2:$AD$1000,AD366)&gt;1,"DUPLICADO NO TG",IF(COUNTIF('Bolsas e auxílios'!$J$5:$J$1000,AD366)=0,"FORA DO CONTROLE","LOCALIZADO")))</f>
        <v/>
      </c>
    </row>
    <row r="367" ht="15.75" customHeight="1"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9" t="str">
        <f t="shared" si="1"/>
        <v/>
      </c>
      <c r="AE367" s="79" t="str">
        <f>IF(AD367="","",IF(COUNTIF($AD$2:$AD$1000,AD367)&gt;1,"DUPLICADO NO TG",IF(COUNTIF('Bolsas e auxílios'!$J$5:$J$1000,AD367)=0,"FORA DO CONTROLE","LOCALIZADO")))</f>
        <v/>
      </c>
    </row>
    <row r="368" ht="15.75" customHeight="1"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9" t="str">
        <f t="shared" si="1"/>
        <v/>
      </c>
      <c r="AE368" s="79" t="str">
        <f>IF(AD368="","",IF(COUNTIF($AD$2:$AD$1000,AD368)&gt;1,"DUPLICADO NO TG",IF(COUNTIF('Bolsas e auxílios'!$J$5:$J$1000,AD368)=0,"FORA DO CONTROLE","LOCALIZADO")))</f>
        <v/>
      </c>
    </row>
    <row r="369" ht="15.75" customHeight="1"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9" t="str">
        <f t="shared" si="1"/>
        <v/>
      </c>
      <c r="AE369" s="79" t="str">
        <f>IF(AD369="","",IF(COUNTIF($AD$2:$AD$1000,AD369)&gt;1,"DUPLICADO NO TG",IF(COUNTIF('Bolsas e auxílios'!$J$5:$J$1000,AD369)=0,"FORA DO CONTROLE","LOCALIZADO")))</f>
        <v/>
      </c>
    </row>
    <row r="370" ht="15.75" customHeight="1"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9" t="str">
        <f t="shared" si="1"/>
        <v/>
      </c>
      <c r="AE370" s="79" t="str">
        <f>IF(AD370="","",IF(COUNTIF($AD$2:$AD$1000,AD370)&gt;1,"DUPLICADO NO TG",IF(COUNTIF('Bolsas e auxílios'!$J$5:$J$1000,AD370)=0,"FORA DO CONTROLE","LOCALIZADO")))</f>
        <v/>
      </c>
    </row>
    <row r="371" ht="15.75" customHeight="1"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9" t="str">
        <f t="shared" si="1"/>
        <v/>
      </c>
      <c r="AE371" s="79" t="str">
        <f>IF(AD371="","",IF(COUNTIF($AD$2:$AD$1000,AD371)&gt;1,"DUPLICADO NO TG",IF(COUNTIF('Bolsas e auxílios'!$J$5:$J$1000,AD371)=0,"FORA DO CONTROLE","LOCALIZADO")))</f>
        <v/>
      </c>
    </row>
    <row r="372" ht="15.75" customHeight="1"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9" t="str">
        <f t="shared" si="1"/>
        <v/>
      </c>
      <c r="AE372" s="79" t="str">
        <f>IF(AD372="","",IF(COUNTIF($AD$2:$AD$1000,AD372)&gt;1,"DUPLICADO NO TG",IF(COUNTIF('Bolsas e auxílios'!$J$5:$J$1000,AD372)=0,"FORA DO CONTROLE","LOCALIZADO")))</f>
        <v/>
      </c>
    </row>
    <row r="373" ht="15.75" customHeight="1"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9" t="str">
        <f t="shared" si="1"/>
        <v/>
      </c>
      <c r="AE373" s="79" t="str">
        <f>IF(AD373="","",IF(COUNTIF($AD$2:$AD$1000,AD373)&gt;1,"DUPLICADO NO TG",IF(COUNTIF('Bolsas e auxílios'!$J$5:$J$1000,AD373)=0,"FORA DO CONTROLE","LOCALIZADO")))</f>
        <v/>
      </c>
    </row>
    <row r="374" ht="15.75" customHeight="1"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9" t="str">
        <f t="shared" si="1"/>
        <v/>
      </c>
      <c r="AE374" s="79" t="str">
        <f>IF(AD374="","",IF(COUNTIF($AD$2:$AD$1000,AD374)&gt;1,"DUPLICADO NO TG",IF(COUNTIF('Bolsas e auxílios'!$J$5:$J$1000,AD374)=0,"FORA DO CONTROLE","LOCALIZADO")))</f>
        <v/>
      </c>
    </row>
    <row r="375" ht="15.75" customHeight="1"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9" t="str">
        <f t="shared" si="1"/>
        <v/>
      </c>
      <c r="AE375" s="79" t="str">
        <f>IF(AD375="","",IF(COUNTIF($AD$2:$AD$1000,AD375)&gt;1,"DUPLICADO NO TG",IF(COUNTIF('Bolsas e auxílios'!$J$5:$J$1000,AD375)=0,"FORA DO CONTROLE","LOCALIZADO")))</f>
        <v/>
      </c>
    </row>
    <row r="376" ht="15.75" customHeight="1"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9" t="str">
        <f t="shared" si="1"/>
        <v/>
      </c>
      <c r="AE376" s="79" t="str">
        <f>IF(AD376="","",IF(COUNTIF($AD$2:$AD$1000,AD376)&gt;1,"DUPLICADO NO TG",IF(COUNTIF('Bolsas e auxílios'!$J$5:$J$1000,AD376)=0,"FORA DO CONTROLE","LOCALIZADO")))</f>
        <v/>
      </c>
    </row>
    <row r="377" ht="15.75" customHeight="1"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9" t="str">
        <f t="shared" si="1"/>
        <v/>
      </c>
      <c r="AE377" s="79" t="str">
        <f>IF(AD377="","",IF(COUNTIF($AD$2:$AD$1000,AD377)&gt;1,"DUPLICADO NO TG",IF(COUNTIF('Bolsas e auxílios'!$J$5:$J$1000,AD377)=0,"FORA DO CONTROLE","LOCALIZADO")))</f>
        <v/>
      </c>
    </row>
    <row r="378" ht="15.75" customHeight="1"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9" t="str">
        <f t="shared" si="1"/>
        <v/>
      </c>
      <c r="AE378" s="79" t="str">
        <f>IF(AD378="","",IF(COUNTIF($AD$2:$AD$1000,AD378)&gt;1,"DUPLICADO NO TG",IF(COUNTIF('Bolsas e auxílios'!$J$5:$J$1000,AD378)=0,"FORA DO CONTROLE","LOCALIZADO")))</f>
        <v/>
      </c>
    </row>
    <row r="379" ht="15.75" customHeight="1"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9" t="str">
        <f t="shared" si="1"/>
        <v/>
      </c>
      <c r="AE379" s="79" t="str">
        <f>IF(AD379="","",IF(COUNTIF($AD$2:$AD$1000,AD379)&gt;1,"DUPLICADO NO TG",IF(COUNTIF('Bolsas e auxílios'!$J$5:$J$1000,AD379)=0,"FORA DO CONTROLE","LOCALIZADO")))</f>
        <v/>
      </c>
    </row>
    <row r="380" ht="15.75" customHeight="1"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9" t="str">
        <f t="shared" si="1"/>
        <v/>
      </c>
      <c r="AE380" s="79" t="str">
        <f>IF(AD380="","",IF(COUNTIF($AD$2:$AD$1000,AD380)&gt;1,"DUPLICADO NO TG",IF(COUNTIF('Bolsas e auxílios'!$J$5:$J$1000,AD380)=0,"FORA DO CONTROLE","LOCALIZADO")))</f>
        <v/>
      </c>
    </row>
    <row r="381" ht="15.75" customHeight="1"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9" t="str">
        <f t="shared" si="1"/>
        <v/>
      </c>
      <c r="AE381" s="79" t="str">
        <f>IF(AD381="","",IF(COUNTIF($AD$2:$AD$1000,AD381)&gt;1,"DUPLICADO NO TG",IF(COUNTIF('Bolsas e auxílios'!$J$5:$J$1000,AD381)=0,"FORA DO CONTROLE","LOCALIZADO")))</f>
        <v/>
      </c>
    </row>
    <row r="382" ht="15.75" customHeight="1"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9" t="str">
        <f t="shared" si="1"/>
        <v/>
      </c>
      <c r="AE382" s="79" t="str">
        <f>IF(AD382="","",IF(COUNTIF($AD$2:$AD$1000,AD382)&gt;1,"DUPLICADO NO TG",IF(COUNTIF('Bolsas e auxílios'!$J$5:$J$1000,AD382)=0,"FORA DO CONTROLE","LOCALIZADO")))</f>
        <v/>
      </c>
    </row>
    <row r="383" ht="15.75" customHeight="1"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9" t="str">
        <f t="shared" si="1"/>
        <v/>
      </c>
      <c r="AE383" s="79" t="str">
        <f>IF(AD383="","",IF(COUNTIF($AD$2:$AD$1000,AD383)&gt;1,"DUPLICADO NO TG",IF(COUNTIF('Bolsas e auxílios'!$J$5:$J$1000,AD383)=0,"FORA DO CONTROLE","LOCALIZADO")))</f>
        <v/>
      </c>
    </row>
    <row r="384" ht="15.75" customHeight="1"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9" t="str">
        <f t="shared" si="1"/>
        <v/>
      </c>
      <c r="AE384" s="79" t="str">
        <f>IF(AD384="","",IF(COUNTIF($AD$2:$AD$1000,AD384)&gt;1,"DUPLICADO NO TG",IF(COUNTIF('Bolsas e auxílios'!$J$5:$J$1000,AD384)=0,"FORA DO CONTROLE","LOCALIZADO")))</f>
        <v/>
      </c>
    </row>
    <row r="385" ht="15.75" customHeight="1"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9" t="str">
        <f t="shared" si="1"/>
        <v/>
      </c>
      <c r="AE385" s="79" t="str">
        <f>IF(AD385="","",IF(COUNTIF($AD$2:$AD$1000,AD385)&gt;1,"DUPLICADO NO TG",IF(COUNTIF('Bolsas e auxílios'!$J$5:$J$1000,AD385)=0,"FORA DO CONTROLE","LOCALIZADO")))</f>
        <v/>
      </c>
    </row>
    <row r="386" ht="15.75" customHeight="1"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9" t="str">
        <f t="shared" si="1"/>
        <v/>
      </c>
      <c r="AE386" s="79" t="str">
        <f>IF(AD386="","",IF(COUNTIF($AD$2:$AD$1000,AD386)&gt;1,"DUPLICADO NO TG",IF(COUNTIF('Bolsas e auxílios'!$J$5:$J$1000,AD386)=0,"FORA DO CONTROLE","LOCALIZADO")))</f>
        <v/>
      </c>
    </row>
    <row r="387" ht="15.75" customHeight="1"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9" t="str">
        <f t="shared" si="1"/>
        <v/>
      </c>
      <c r="AE387" s="79" t="str">
        <f>IF(AD387="","",IF(COUNTIF($AD$2:$AD$1000,AD387)&gt;1,"DUPLICADO NO TG",IF(COUNTIF('Bolsas e auxílios'!$J$5:$J$1000,AD387)=0,"FORA DO CONTROLE","LOCALIZADO")))</f>
        <v/>
      </c>
    </row>
    <row r="388" ht="15.75" customHeight="1"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9" t="str">
        <f t="shared" si="1"/>
        <v/>
      </c>
      <c r="AE388" s="79" t="str">
        <f>IF(AD388="","",IF(COUNTIF($AD$2:$AD$1000,AD388)&gt;1,"DUPLICADO NO TG",IF(COUNTIF('Bolsas e auxílios'!$J$5:$J$1000,AD388)=0,"FORA DO CONTROLE","LOCALIZADO")))</f>
        <v/>
      </c>
    </row>
    <row r="389" ht="15.75" customHeight="1"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9" t="str">
        <f t="shared" si="1"/>
        <v/>
      </c>
      <c r="AE389" s="79" t="str">
        <f>IF(AD389="","",IF(COUNTIF($AD$2:$AD$1000,AD389)&gt;1,"DUPLICADO NO TG",IF(COUNTIF('Bolsas e auxílios'!$J$5:$J$1000,AD389)=0,"FORA DO CONTROLE","LOCALIZADO")))</f>
        <v/>
      </c>
    </row>
    <row r="390" ht="15.75" customHeight="1"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9" t="str">
        <f t="shared" si="1"/>
        <v/>
      </c>
      <c r="AE390" s="79" t="str">
        <f>IF(AD390="","",IF(COUNTIF($AD$2:$AD$1000,AD390)&gt;1,"DUPLICADO NO TG",IF(COUNTIF('Bolsas e auxílios'!$J$5:$J$1000,AD390)=0,"FORA DO CONTROLE","LOCALIZADO")))</f>
        <v/>
      </c>
    </row>
    <row r="391" ht="15.75" customHeight="1"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9" t="str">
        <f t="shared" si="1"/>
        <v/>
      </c>
      <c r="AE391" s="79" t="str">
        <f>IF(AD391="","",IF(COUNTIF($AD$2:$AD$1000,AD391)&gt;1,"DUPLICADO NO TG",IF(COUNTIF('Bolsas e auxílios'!$J$5:$J$1000,AD391)=0,"FORA DO CONTROLE","LOCALIZADO")))</f>
        <v/>
      </c>
    </row>
    <row r="392" ht="15.75" customHeight="1"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9" t="str">
        <f t="shared" si="1"/>
        <v/>
      </c>
      <c r="AE392" s="79" t="str">
        <f>IF(AD392="","",IF(COUNTIF($AD$2:$AD$1000,AD392)&gt;1,"DUPLICADO NO TG",IF(COUNTIF('Bolsas e auxílios'!$J$5:$J$1000,AD392)=0,"FORA DO CONTROLE","LOCALIZADO")))</f>
        <v/>
      </c>
    </row>
    <row r="393" ht="15.75" customHeight="1"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9" t="str">
        <f t="shared" si="1"/>
        <v/>
      </c>
      <c r="AE393" s="79" t="str">
        <f>IF(AD393="","",IF(COUNTIF($AD$2:$AD$1000,AD393)&gt;1,"DUPLICADO NO TG",IF(COUNTIF('Bolsas e auxílios'!$J$5:$J$1000,AD393)=0,"FORA DO CONTROLE","LOCALIZADO")))</f>
        <v/>
      </c>
    </row>
    <row r="394" ht="15.75" customHeight="1"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9" t="str">
        <f t="shared" si="1"/>
        <v/>
      </c>
      <c r="AE394" s="79" t="str">
        <f>IF(AD394="","",IF(COUNTIF($AD$2:$AD$1000,AD394)&gt;1,"DUPLICADO NO TG",IF(COUNTIF('Bolsas e auxílios'!$J$5:$J$1000,AD394)=0,"FORA DO CONTROLE","LOCALIZADO")))</f>
        <v/>
      </c>
    </row>
    <row r="395" ht="15.75" customHeight="1"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9" t="str">
        <f t="shared" si="1"/>
        <v/>
      </c>
      <c r="AE395" s="79" t="str">
        <f>IF(AD395="","",IF(COUNTIF($AD$2:$AD$1000,AD395)&gt;1,"DUPLICADO NO TG",IF(COUNTIF('Bolsas e auxílios'!$J$5:$J$1000,AD395)=0,"FORA DO CONTROLE","LOCALIZADO")))</f>
        <v/>
      </c>
    </row>
    <row r="396" ht="15.75" customHeight="1"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9" t="str">
        <f t="shared" si="1"/>
        <v/>
      </c>
      <c r="AE396" s="79" t="str">
        <f>IF(AD396="","",IF(COUNTIF($AD$2:$AD$1000,AD396)&gt;1,"DUPLICADO NO TG",IF(COUNTIF('Bolsas e auxílios'!$J$5:$J$1000,AD396)=0,"FORA DO CONTROLE","LOCALIZADO")))</f>
        <v/>
      </c>
    </row>
    <row r="397" ht="15.75" customHeight="1"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9" t="str">
        <f t="shared" si="1"/>
        <v/>
      </c>
      <c r="AE397" s="79" t="str">
        <f>IF(AD397="","",IF(COUNTIF($AD$2:$AD$1000,AD397)&gt;1,"DUPLICADO NO TG",IF(COUNTIF('Bolsas e auxílios'!$J$5:$J$1000,AD397)=0,"FORA DO CONTROLE","LOCALIZADO")))</f>
        <v/>
      </c>
    </row>
    <row r="398" ht="15.75" customHeight="1"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9" t="str">
        <f t="shared" si="1"/>
        <v/>
      </c>
      <c r="AE398" s="79" t="str">
        <f>IF(AD398="","",IF(COUNTIF($AD$2:$AD$1000,AD398)&gt;1,"DUPLICADO NO TG",IF(COUNTIF('Bolsas e auxílios'!$J$5:$J$1000,AD398)=0,"FORA DO CONTROLE","LOCALIZADO")))</f>
        <v/>
      </c>
    </row>
    <row r="399" ht="15.75" customHeight="1"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9" t="str">
        <f t="shared" si="1"/>
        <v/>
      </c>
      <c r="AE399" s="79" t="str">
        <f>IF(AD399="","",IF(COUNTIF($AD$2:$AD$1000,AD399)&gt;1,"DUPLICADO NO TG",IF(COUNTIF('Bolsas e auxílios'!$J$5:$J$1000,AD399)=0,"FORA DO CONTROLE","LOCALIZADO")))</f>
        <v/>
      </c>
    </row>
    <row r="400" ht="15.75" customHeight="1"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9" t="str">
        <f t="shared" si="1"/>
        <v/>
      </c>
      <c r="AE400" s="79" t="str">
        <f>IF(AD400="","",IF(COUNTIF($AD$2:$AD$1000,AD400)&gt;1,"DUPLICADO NO TG",IF(COUNTIF('Bolsas e auxílios'!$J$5:$J$1000,AD400)=0,"FORA DO CONTROLE","LOCALIZADO")))</f>
        <v/>
      </c>
    </row>
    <row r="401" ht="15.75" customHeight="1"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9" t="str">
        <f t="shared" si="1"/>
        <v/>
      </c>
      <c r="AE401" s="79" t="str">
        <f>IF(AD401="","",IF(COUNTIF($AD$2:$AD$1000,AD401)&gt;1,"DUPLICADO NO TG",IF(COUNTIF('Bolsas e auxílios'!$J$5:$J$1000,AD401)=0,"FORA DO CONTROLE","LOCALIZADO")))</f>
        <v/>
      </c>
    </row>
    <row r="402" ht="15.75" customHeight="1"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9" t="str">
        <f t="shared" si="1"/>
        <v/>
      </c>
      <c r="AE402" s="79" t="str">
        <f>IF(AD402="","",IF(COUNTIF($AD$2:$AD$1000,AD402)&gt;1,"DUPLICADO NO TG",IF(COUNTIF('Bolsas e auxílios'!$J$5:$J$1000,AD402)=0,"FORA DO CONTROLE","LOCALIZADO")))</f>
        <v/>
      </c>
    </row>
    <row r="403" ht="15.75" customHeight="1"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9" t="str">
        <f t="shared" si="1"/>
        <v/>
      </c>
      <c r="AE403" s="79" t="str">
        <f>IF(AD403="","",IF(COUNTIF($AD$2:$AD$1000,AD403)&gt;1,"DUPLICADO NO TG",IF(COUNTIF('Bolsas e auxílios'!$J$5:$J$1000,AD403)=0,"FORA DO CONTROLE","LOCALIZADO")))</f>
        <v/>
      </c>
    </row>
    <row r="404" ht="15.75" customHeight="1"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9" t="str">
        <f t="shared" si="1"/>
        <v/>
      </c>
      <c r="AE404" s="79" t="str">
        <f>IF(AD404="","",IF(COUNTIF($AD$2:$AD$1000,AD404)&gt;1,"DUPLICADO NO TG",IF(COUNTIF('Bolsas e auxílios'!$J$5:$J$1000,AD404)=0,"FORA DO CONTROLE","LOCALIZADO")))</f>
        <v/>
      </c>
    </row>
    <row r="405" ht="15.75" customHeight="1"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9" t="str">
        <f t="shared" si="1"/>
        <v/>
      </c>
      <c r="AE405" s="79" t="str">
        <f>IF(AD405="","",IF(COUNTIF($AD$2:$AD$1000,AD405)&gt;1,"DUPLICADO NO TG",IF(COUNTIF('Bolsas e auxílios'!$J$5:$J$1000,AD405)=0,"FORA DO CONTROLE","LOCALIZADO")))</f>
        <v/>
      </c>
    </row>
    <row r="406" ht="15.75" customHeight="1"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9" t="str">
        <f t="shared" si="1"/>
        <v/>
      </c>
      <c r="AE406" s="79" t="str">
        <f>IF(AD406="","",IF(COUNTIF($AD$2:$AD$1000,AD406)&gt;1,"DUPLICADO NO TG",IF(COUNTIF('Bolsas e auxílios'!$J$5:$J$1000,AD406)=0,"FORA DO CONTROLE","LOCALIZADO")))</f>
        <v/>
      </c>
    </row>
    <row r="407" ht="15.75" customHeight="1"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9" t="str">
        <f t="shared" si="1"/>
        <v/>
      </c>
      <c r="AE407" s="79" t="str">
        <f>IF(AD407="","",IF(COUNTIF($AD$2:$AD$1000,AD407)&gt;1,"DUPLICADO NO TG",IF(COUNTIF('Bolsas e auxílios'!$J$5:$J$1000,AD407)=0,"FORA DO CONTROLE","LOCALIZADO")))</f>
        <v/>
      </c>
    </row>
    <row r="408" ht="15.75" customHeight="1"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9" t="str">
        <f t="shared" si="1"/>
        <v/>
      </c>
      <c r="AE408" s="79" t="str">
        <f>IF(AD408="","",IF(COUNTIF($AD$2:$AD$1000,AD408)&gt;1,"DUPLICADO NO TG",IF(COUNTIF('Bolsas e auxílios'!$J$5:$J$1000,AD408)=0,"FORA DO CONTROLE","LOCALIZADO")))</f>
        <v/>
      </c>
    </row>
    <row r="409" ht="15.75" customHeight="1"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9" t="str">
        <f t="shared" si="1"/>
        <v/>
      </c>
      <c r="AE409" s="79" t="str">
        <f>IF(AD409="","",IF(COUNTIF($AD$2:$AD$1000,AD409)&gt;1,"DUPLICADO NO TG",IF(COUNTIF('Bolsas e auxílios'!$J$5:$J$1000,AD409)=0,"FORA DO CONTROLE","LOCALIZADO")))</f>
        <v/>
      </c>
    </row>
    <row r="410" ht="15.75" customHeight="1"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9" t="str">
        <f t="shared" si="1"/>
        <v/>
      </c>
      <c r="AE410" s="79" t="str">
        <f>IF(AD410="","",IF(COUNTIF($AD$2:$AD$1000,AD410)&gt;1,"DUPLICADO NO TG",IF(COUNTIF('Bolsas e auxílios'!$J$5:$J$1000,AD410)=0,"FORA DO CONTROLE","LOCALIZADO")))</f>
        <v/>
      </c>
    </row>
    <row r="411" ht="15.75" customHeight="1"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9" t="str">
        <f t="shared" si="1"/>
        <v/>
      </c>
      <c r="AE411" s="79" t="str">
        <f>IF(AD411="","",IF(COUNTIF($AD$2:$AD$1000,AD411)&gt;1,"DUPLICADO NO TG",IF(COUNTIF('Bolsas e auxílios'!$J$5:$J$1000,AD411)=0,"FORA DO CONTROLE","LOCALIZADO")))</f>
        <v/>
      </c>
    </row>
    <row r="412" ht="15.75" customHeight="1"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9" t="str">
        <f t="shared" si="1"/>
        <v/>
      </c>
      <c r="AE412" s="79" t="str">
        <f>IF(AD412="","",IF(COUNTIF($AD$2:$AD$1000,AD412)&gt;1,"DUPLICADO NO TG",IF(COUNTIF('Bolsas e auxílios'!$J$5:$J$1000,AD412)=0,"FORA DO CONTROLE","LOCALIZADO")))</f>
        <v/>
      </c>
    </row>
    <row r="413" ht="15.75" customHeight="1"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9" t="str">
        <f t="shared" si="1"/>
        <v/>
      </c>
      <c r="AE413" s="79" t="str">
        <f>IF(AD413="","",IF(COUNTIF($AD$2:$AD$1000,AD413)&gt;1,"DUPLICADO NO TG",IF(COUNTIF('Bolsas e auxílios'!$J$5:$J$1000,AD413)=0,"FORA DO CONTROLE","LOCALIZADO")))</f>
        <v/>
      </c>
    </row>
    <row r="414" ht="15.75" customHeight="1"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9" t="str">
        <f t="shared" si="1"/>
        <v/>
      </c>
      <c r="AE414" s="79" t="str">
        <f>IF(AD414="","",IF(COUNTIF($AD$2:$AD$1000,AD414)&gt;1,"DUPLICADO NO TG",IF(COUNTIF('Bolsas e auxílios'!$J$5:$J$1000,AD414)=0,"FORA DO CONTROLE","LOCALIZADO")))</f>
        <v/>
      </c>
    </row>
    <row r="415" ht="15.75" customHeight="1"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9" t="str">
        <f t="shared" si="1"/>
        <v/>
      </c>
      <c r="AE415" s="79" t="str">
        <f>IF(AD415="","",IF(COUNTIF($AD$2:$AD$1000,AD415)&gt;1,"DUPLICADO NO TG",IF(COUNTIF('Bolsas e auxílios'!$J$5:$J$1000,AD415)=0,"FORA DO CONTROLE","LOCALIZADO")))</f>
        <v/>
      </c>
    </row>
    <row r="416" ht="15.75" customHeight="1"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9" t="str">
        <f t="shared" si="1"/>
        <v/>
      </c>
      <c r="AE416" s="79" t="str">
        <f>IF(AD416="","",IF(COUNTIF($AD$2:$AD$1000,AD416)&gt;1,"DUPLICADO NO TG",IF(COUNTIF('Bolsas e auxílios'!$J$5:$J$1000,AD416)=0,"FORA DO CONTROLE","LOCALIZADO")))</f>
        <v/>
      </c>
    </row>
    <row r="417" ht="15.75" customHeight="1"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9" t="str">
        <f t="shared" si="1"/>
        <v/>
      </c>
      <c r="AE417" s="79" t="str">
        <f>IF(AD417="","",IF(COUNTIF($AD$2:$AD$1000,AD417)&gt;1,"DUPLICADO NO TG",IF(COUNTIF('Bolsas e auxílios'!$J$5:$J$1000,AD417)=0,"FORA DO CONTROLE","LOCALIZADO")))</f>
        <v/>
      </c>
    </row>
    <row r="418" ht="15.75" customHeight="1"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9" t="str">
        <f t="shared" si="1"/>
        <v/>
      </c>
      <c r="AE418" s="79" t="str">
        <f>IF(AD418="","",IF(COUNTIF($AD$2:$AD$1000,AD418)&gt;1,"DUPLICADO NO TG",IF(COUNTIF('Bolsas e auxílios'!$J$5:$J$1000,AD418)=0,"FORA DO CONTROLE","LOCALIZADO")))</f>
        <v/>
      </c>
    </row>
    <row r="419" ht="15.75" customHeight="1"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9" t="str">
        <f t="shared" si="1"/>
        <v/>
      </c>
      <c r="AE419" s="79" t="str">
        <f>IF(AD419="","",IF(COUNTIF($AD$2:$AD$1000,AD419)&gt;1,"DUPLICADO NO TG",IF(COUNTIF('Bolsas e auxílios'!$J$5:$J$1000,AD419)=0,"FORA DO CONTROLE","LOCALIZADO")))</f>
        <v/>
      </c>
    </row>
    <row r="420" ht="15.75" customHeight="1"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9" t="str">
        <f t="shared" si="1"/>
        <v/>
      </c>
      <c r="AE420" s="79" t="str">
        <f>IF(AD420="","",IF(COUNTIF($AD$2:$AD$1000,AD420)&gt;1,"DUPLICADO NO TG",IF(COUNTIF('Bolsas e auxílios'!$J$5:$J$1000,AD420)=0,"FORA DO CONTROLE","LOCALIZADO")))</f>
        <v/>
      </c>
    </row>
    <row r="421" ht="15.75" customHeight="1"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9" t="str">
        <f t="shared" si="1"/>
        <v/>
      </c>
      <c r="AE421" s="79" t="str">
        <f>IF(AD421="","",IF(COUNTIF($AD$2:$AD$1000,AD421)&gt;1,"DUPLICADO NO TG",IF(COUNTIF('Bolsas e auxílios'!$J$5:$J$1000,AD421)=0,"FORA DO CONTROLE","LOCALIZADO")))</f>
        <v/>
      </c>
    </row>
    <row r="422" ht="15.75" customHeight="1"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9" t="str">
        <f t="shared" si="1"/>
        <v/>
      </c>
      <c r="AE422" s="79" t="str">
        <f>IF(AD422="","",IF(COUNTIF($AD$2:$AD$1000,AD422)&gt;1,"DUPLICADO NO TG",IF(COUNTIF('Bolsas e auxílios'!$J$5:$J$1000,AD422)=0,"FORA DO CONTROLE","LOCALIZADO")))</f>
        <v/>
      </c>
    </row>
    <row r="423" ht="15.75" customHeight="1"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9" t="str">
        <f t="shared" si="1"/>
        <v/>
      </c>
      <c r="AE423" s="79" t="str">
        <f>IF(AD423="","",IF(COUNTIF($AD$2:$AD$1000,AD423)&gt;1,"DUPLICADO NO TG",IF(COUNTIF('Bolsas e auxílios'!$J$5:$J$1000,AD423)=0,"FORA DO CONTROLE","LOCALIZADO")))</f>
        <v/>
      </c>
    </row>
    <row r="424" ht="15.75" customHeight="1"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9" t="str">
        <f t="shared" si="1"/>
        <v/>
      </c>
      <c r="AE424" s="79" t="str">
        <f>IF(AD424="","",IF(COUNTIF($AD$2:$AD$1000,AD424)&gt;1,"DUPLICADO NO TG",IF(COUNTIF('Bolsas e auxílios'!$J$5:$J$1000,AD424)=0,"FORA DO CONTROLE","LOCALIZADO")))</f>
        <v/>
      </c>
    </row>
    <row r="425" ht="15.75" customHeight="1"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9" t="str">
        <f t="shared" si="1"/>
        <v/>
      </c>
      <c r="AE425" s="79" t="str">
        <f>IF(AD425="","",IF(COUNTIF($AD$2:$AD$1000,AD425)&gt;1,"DUPLICADO NO TG",IF(COUNTIF('Bolsas e auxílios'!$J$5:$J$1000,AD425)=0,"FORA DO CONTROLE","LOCALIZADO")))</f>
        <v/>
      </c>
    </row>
    <row r="426" ht="15.75" customHeight="1"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9" t="str">
        <f t="shared" si="1"/>
        <v/>
      </c>
      <c r="AE426" s="79" t="str">
        <f>IF(AD426="","",IF(COUNTIF($AD$2:$AD$1000,AD426)&gt;1,"DUPLICADO NO TG",IF(COUNTIF('Bolsas e auxílios'!$J$5:$J$1000,AD426)=0,"FORA DO CONTROLE","LOCALIZADO")))</f>
        <v/>
      </c>
    </row>
    <row r="427" ht="15.75" customHeight="1"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9" t="str">
        <f t="shared" si="1"/>
        <v/>
      </c>
      <c r="AE427" s="79" t="str">
        <f>IF(AD427="","",IF(COUNTIF($AD$2:$AD$1000,AD427)&gt;1,"DUPLICADO NO TG",IF(COUNTIF('Bolsas e auxílios'!$J$5:$J$1000,AD427)=0,"FORA DO CONTROLE","LOCALIZADO")))</f>
        <v/>
      </c>
    </row>
    <row r="428" ht="15.75" customHeight="1"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9" t="str">
        <f t="shared" si="1"/>
        <v/>
      </c>
      <c r="AE428" s="79" t="str">
        <f>IF(AD428="","",IF(COUNTIF($AD$2:$AD$1000,AD428)&gt;1,"DUPLICADO NO TG",IF(COUNTIF('Bolsas e auxílios'!$J$5:$J$1000,AD428)=0,"FORA DO CONTROLE","LOCALIZADO")))</f>
        <v/>
      </c>
    </row>
    <row r="429" ht="15.75" customHeight="1"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9" t="str">
        <f t="shared" si="1"/>
        <v/>
      </c>
      <c r="AE429" s="79" t="str">
        <f>IF(AD429="","",IF(COUNTIF($AD$2:$AD$1000,AD429)&gt;1,"DUPLICADO NO TG",IF(COUNTIF('Bolsas e auxílios'!$J$5:$J$1000,AD429)=0,"FORA DO CONTROLE","LOCALIZADO")))</f>
        <v/>
      </c>
    </row>
    <row r="430" ht="15.75" customHeight="1"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9" t="str">
        <f t="shared" si="1"/>
        <v/>
      </c>
      <c r="AE430" s="79" t="str">
        <f>IF(AD430="","",IF(COUNTIF($AD$2:$AD$1000,AD430)&gt;1,"DUPLICADO NO TG",IF(COUNTIF('Bolsas e auxílios'!$J$5:$J$1000,AD430)=0,"FORA DO CONTROLE","LOCALIZADO")))</f>
        <v/>
      </c>
    </row>
    <row r="431" ht="15.75" customHeight="1"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9" t="str">
        <f t="shared" si="1"/>
        <v/>
      </c>
      <c r="AE431" s="79" t="str">
        <f>IF(AD431="","",IF(COUNTIF($AD$2:$AD$1000,AD431)&gt;1,"DUPLICADO NO TG",IF(COUNTIF('Bolsas e auxílios'!$J$5:$J$1000,AD431)=0,"FORA DO CONTROLE","LOCALIZADO")))</f>
        <v/>
      </c>
    </row>
    <row r="432" ht="15.75" customHeight="1"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9" t="str">
        <f t="shared" si="1"/>
        <v/>
      </c>
      <c r="AE432" s="79" t="str">
        <f>IF(AD432="","",IF(COUNTIF($AD$2:$AD$1000,AD432)&gt;1,"DUPLICADO NO TG",IF(COUNTIF('Bolsas e auxílios'!$J$5:$J$1000,AD432)=0,"FORA DO CONTROLE","LOCALIZADO")))</f>
        <v/>
      </c>
    </row>
    <row r="433" ht="15.75" customHeight="1"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9" t="str">
        <f t="shared" si="1"/>
        <v/>
      </c>
      <c r="AE433" s="79" t="str">
        <f>IF(AD433="","",IF(COUNTIF($AD$2:$AD$1000,AD433)&gt;1,"DUPLICADO NO TG",IF(COUNTIF('Bolsas e auxílios'!$J$5:$J$1000,AD433)=0,"FORA DO CONTROLE","LOCALIZADO")))</f>
        <v/>
      </c>
    </row>
    <row r="434" ht="15.75" customHeight="1"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9" t="str">
        <f t="shared" si="1"/>
        <v/>
      </c>
      <c r="AE434" s="79" t="str">
        <f>IF(AD434="","",IF(COUNTIF($AD$2:$AD$1000,AD434)&gt;1,"DUPLICADO NO TG",IF(COUNTIF('Bolsas e auxílios'!$J$5:$J$1000,AD434)=0,"FORA DO CONTROLE","LOCALIZADO")))</f>
        <v/>
      </c>
    </row>
    <row r="435" ht="15.75" customHeight="1"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9" t="str">
        <f t="shared" si="1"/>
        <v/>
      </c>
      <c r="AE435" s="79" t="str">
        <f>IF(AD435="","",IF(COUNTIF($AD$2:$AD$1000,AD435)&gt;1,"DUPLICADO NO TG",IF(COUNTIF('Bolsas e auxílios'!$J$5:$J$1000,AD435)=0,"FORA DO CONTROLE","LOCALIZADO")))</f>
        <v/>
      </c>
    </row>
    <row r="436" ht="15.75" customHeight="1"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9" t="str">
        <f t="shared" si="1"/>
        <v/>
      </c>
      <c r="AE436" s="79" t="str">
        <f>IF(AD436="","",IF(COUNTIF($AD$2:$AD$1000,AD436)&gt;1,"DUPLICADO NO TG",IF(COUNTIF('Bolsas e auxílios'!$J$5:$J$1000,AD436)=0,"FORA DO CONTROLE","LOCALIZADO")))</f>
        <v/>
      </c>
    </row>
    <row r="437" ht="15.75" customHeight="1"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9" t="str">
        <f t="shared" si="1"/>
        <v/>
      </c>
      <c r="AE437" s="79" t="str">
        <f>IF(AD437="","",IF(COUNTIF($AD$2:$AD$1000,AD437)&gt;1,"DUPLICADO NO TG",IF(COUNTIF('Bolsas e auxílios'!$J$5:$J$1000,AD437)=0,"FORA DO CONTROLE","LOCALIZADO")))</f>
        <v/>
      </c>
    </row>
    <row r="438" ht="15.75" customHeight="1"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9" t="str">
        <f t="shared" si="1"/>
        <v/>
      </c>
      <c r="AE438" s="79" t="str">
        <f>IF(AD438="","",IF(COUNTIF($AD$2:$AD$1000,AD438)&gt;1,"DUPLICADO NO TG",IF(COUNTIF('Bolsas e auxílios'!$J$5:$J$1000,AD438)=0,"FORA DO CONTROLE","LOCALIZADO")))</f>
        <v/>
      </c>
    </row>
    <row r="439" ht="15.75" customHeight="1"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9" t="str">
        <f t="shared" si="1"/>
        <v/>
      </c>
      <c r="AE439" s="79" t="str">
        <f>IF(AD439="","",IF(COUNTIF($AD$2:$AD$1000,AD439)&gt;1,"DUPLICADO NO TG",IF(COUNTIF('Bolsas e auxílios'!$J$5:$J$1000,AD439)=0,"FORA DO CONTROLE","LOCALIZADO")))</f>
        <v/>
      </c>
    </row>
    <row r="440" ht="15.75" customHeight="1"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9" t="str">
        <f t="shared" si="1"/>
        <v/>
      </c>
      <c r="AE440" s="79" t="str">
        <f>IF(AD440="","",IF(COUNTIF($AD$2:$AD$1000,AD440)&gt;1,"DUPLICADO NO TG",IF(COUNTIF('Bolsas e auxílios'!$J$5:$J$1000,AD440)=0,"FORA DO CONTROLE","LOCALIZADO")))</f>
        <v/>
      </c>
    </row>
    <row r="441" ht="15.75" customHeight="1"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9" t="str">
        <f t="shared" si="1"/>
        <v/>
      </c>
      <c r="AE441" s="79" t="str">
        <f>IF(AD441="","",IF(COUNTIF($AD$2:$AD$1000,AD441)&gt;1,"DUPLICADO NO TG",IF(COUNTIF('Bolsas e auxílios'!$J$5:$J$1000,AD441)=0,"FORA DO CONTROLE","LOCALIZADO")))</f>
        <v/>
      </c>
    </row>
    <row r="442" ht="15.75" customHeight="1"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9" t="str">
        <f t="shared" si="1"/>
        <v/>
      </c>
      <c r="AE442" s="79" t="str">
        <f>IF(AD442="","",IF(COUNTIF($AD$2:$AD$1000,AD442)&gt;1,"DUPLICADO NO TG",IF(COUNTIF('Bolsas e auxílios'!$J$5:$J$1000,AD442)=0,"FORA DO CONTROLE","LOCALIZADO")))</f>
        <v/>
      </c>
    </row>
    <row r="443" ht="15.75" customHeight="1"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9" t="str">
        <f t="shared" si="1"/>
        <v/>
      </c>
      <c r="AE443" s="79" t="str">
        <f>IF(AD443="","",IF(COUNTIF($AD$2:$AD$1000,AD443)&gt;1,"DUPLICADO NO TG",IF(COUNTIF('Bolsas e auxílios'!$J$5:$J$1000,AD443)=0,"FORA DO CONTROLE","LOCALIZADO")))</f>
        <v/>
      </c>
    </row>
    <row r="444" ht="15.75" customHeight="1"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9" t="str">
        <f t="shared" si="1"/>
        <v/>
      </c>
      <c r="AE444" s="79" t="str">
        <f>IF(AD444="","",IF(COUNTIF($AD$2:$AD$1000,AD444)&gt;1,"DUPLICADO NO TG",IF(COUNTIF('Bolsas e auxílios'!$J$5:$J$1000,AD444)=0,"FORA DO CONTROLE","LOCALIZADO")))</f>
        <v/>
      </c>
    </row>
    <row r="445" ht="15.75" customHeight="1"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9" t="str">
        <f t="shared" si="1"/>
        <v/>
      </c>
      <c r="AE445" s="79" t="str">
        <f>IF(AD445="","",IF(COUNTIF($AD$2:$AD$1000,AD445)&gt;1,"DUPLICADO NO TG",IF(COUNTIF('Bolsas e auxílios'!$J$5:$J$1000,AD445)=0,"FORA DO CONTROLE","LOCALIZADO")))</f>
        <v/>
      </c>
    </row>
    <row r="446" ht="15.75" customHeight="1"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9" t="str">
        <f t="shared" si="1"/>
        <v/>
      </c>
      <c r="AE446" s="79" t="str">
        <f>IF(AD446="","",IF(COUNTIF($AD$2:$AD$1000,AD446)&gt;1,"DUPLICADO NO TG",IF(COUNTIF('Bolsas e auxílios'!$J$5:$J$1000,AD446)=0,"FORA DO CONTROLE","LOCALIZADO")))</f>
        <v/>
      </c>
    </row>
    <row r="447" ht="15.75" customHeight="1"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9" t="str">
        <f t="shared" si="1"/>
        <v/>
      </c>
      <c r="AE447" s="79" t="str">
        <f>IF(AD447="","",IF(COUNTIF($AD$2:$AD$1000,AD447)&gt;1,"DUPLICADO NO TG",IF(COUNTIF('Bolsas e auxílios'!$J$5:$J$1000,AD447)=0,"FORA DO CONTROLE","LOCALIZADO")))</f>
        <v/>
      </c>
    </row>
    <row r="448" ht="15.75" customHeight="1"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9" t="str">
        <f t="shared" si="1"/>
        <v/>
      </c>
      <c r="AE448" s="79" t="str">
        <f>IF(AD448="","",IF(COUNTIF($AD$2:$AD$1000,AD448)&gt;1,"DUPLICADO NO TG",IF(COUNTIF('Bolsas e auxílios'!$J$5:$J$1000,AD448)=0,"FORA DO CONTROLE","LOCALIZADO")))</f>
        <v/>
      </c>
    </row>
    <row r="449" ht="15.75" customHeight="1"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9" t="str">
        <f t="shared" si="1"/>
        <v/>
      </c>
      <c r="AE449" s="79" t="str">
        <f>IF(AD449="","",IF(COUNTIF($AD$2:$AD$1000,AD449)&gt;1,"DUPLICADO NO TG",IF(COUNTIF('Bolsas e auxílios'!$J$5:$J$1000,AD449)=0,"FORA DO CONTROLE","LOCALIZADO")))</f>
        <v/>
      </c>
    </row>
    <row r="450" ht="15.75" customHeight="1"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9" t="str">
        <f t="shared" si="1"/>
        <v/>
      </c>
      <c r="AE450" s="79" t="str">
        <f>IF(AD450="","",IF(COUNTIF($AD$2:$AD$1000,AD450)&gt;1,"DUPLICADO NO TG",IF(COUNTIF('Bolsas e auxílios'!$J$5:$J$1000,AD450)=0,"FORA DO CONTROLE","LOCALIZADO")))</f>
        <v/>
      </c>
    </row>
    <row r="451" ht="15.75" customHeight="1"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9" t="str">
        <f t="shared" si="1"/>
        <v/>
      </c>
      <c r="AE451" s="79" t="str">
        <f>IF(AD451="","",IF(COUNTIF($AD$2:$AD$1000,AD451)&gt;1,"DUPLICADO NO TG",IF(COUNTIF('Bolsas e auxílios'!$J$5:$J$1000,AD451)=0,"FORA DO CONTROLE","LOCALIZADO")))</f>
        <v/>
      </c>
    </row>
    <row r="452" ht="15.75" customHeight="1"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9" t="str">
        <f t="shared" si="1"/>
        <v/>
      </c>
      <c r="AE452" s="79" t="str">
        <f>IF(AD452="","",IF(COUNTIF($AD$2:$AD$1000,AD452)&gt;1,"DUPLICADO NO TG",IF(COUNTIF('Bolsas e auxílios'!$J$5:$J$1000,AD452)=0,"FORA DO CONTROLE","LOCALIZADO")))</f>
        <v/>
      </c>
    </row>
    <row r="453" ht="15.75" customHeight="1"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9" t="str">
        <f t="shared" si="1"/>
        <v/>
      </c>
      <c r="AE453" s="79" t="str">
        <f>IF(AD453="","",IF(COUNTIF($AD$2:$AD$1000,AD453)&gt;1,"DUPLICADO NO TG",IF(COUNTIF('Bolsas e auxílios'!$J$5:$J$1000,AD453)=0,"FORA DO CONTROLE","LOCALIZADO")))</f>
        <v/>
      </c>
    </row>
    <row r="454" ht="15.75" customHeight="1"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9" t="str">
        <f t="shared" si="1"/>
        <v/>
      </c>
      <c r="AE454" s="79" t="str">
        <f>IF(AD454="","",IF(COUNTIF($AD$2:$AD$1000,AD454)&gt;1,"DUPLICADO NO TG",IF(COUNTIF('Bolsas e auxílios'!$J$5:$J$1000,AD454)=0,"FORA DO CONTROLE","LOCALIZADO")))</f>
        <v/>
      </c>
    </row>
    <row r="455" ht="15.75" customHeight="1"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9" t="str">
        <f t="shared" si="1"/>
        <v/>
      </c>
      <c r="AE455" s="79" t="str">
        <f>IF(AD455="","",IF(COUNTIF($AD$2:$AD$1000,AD455)&gt;1,"DUPLICADO NO TG",IF(COUNTIF('Bolsas e auxílios'!$J$5:$J$1000,AD455)=0,"FORA DO CONTROLE","LOCALIZADO")))</f>
        <v/>
      </c>
    </row>
    <row r="456" ht="15.75" customHeight="1"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9" t="str">
        <f t="shared" si="1"/>
        <v/>
      </c>
      <c r="AE456" s="79" t="str">
        <f>IF(AD456="","",IF(COUNTIF($AD$2:$AD$1000,AD456)&gt;1,"DUPLICADO NO TG",IF(COUNTIF('Bolsas e auxílios'!$J$5:$J$1000,AD456)=0,"FORA DO CONTROLE","LOCALIZADO")))</f>
        <v/>
      </c>
    </row>
    <row r="457" ht="15.75" customHeight="1"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9" t="str">
        <f t="shared" si="1"/>
        <v/>
      </c>
      <c r="AE457" s="79" t="str">
        <f>IF(AD457="","",IF(COUNTIF($AD$2:$AD$1000,AD457)&gt;1,"DUPLICADO NO TG",IF(COUNTIF('Bolsas e auxílios'!$J$5:$J$1000,AD457)=0,"FORA DO CONTROLE","LOCALIZADO")))</f>
        <v/>
      </c>
    </row>
    <row r="458" ht="15.75" customHeight="1"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9" t="str">
        <f t="shared" si="1"/>
        <v/>
      </c>
      <c r="AE458" s="79" t="str">
        <f>IF(AD458="","",IF(COUNTIF($AD$2:$AD$1000,AD458)&gt;1,"DUPLICADO NO TG",IF(COUNTIF('Bolsas e auxílios'!$J$5:$J$1000,AD458)=0,"FORA DO CONTROLE","LOCALIZADO")))</f>
        <v/>
      </c>
    </row>
    <row r="459" ht="15.75" customHeight="1"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9" t="str">
        <f t="shared" si="1"/>
        <v/>
      </c>
      <c r="AE459" s="79" t="str">
        <f>IF(AD459="","",IF(COUNTIF($AD$2:$AD$1000,AD459)&gt;1,"DUPLICADO NO TG",IF(COUNTIF('Bolsas e auxílios'!$J$5:$J$1000,AD459)=0,"FORA DO CONTROLE","LOCALIZADO")))</f>
        <v/>
      </c>
    </row>
    <row r="460" ht="15.75" customHeight="1"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9" t="str">
        <f t="shared" si="1"/>
        <v/>
      </c>
      <c r="AE460" s="79" t="str">
        <f>IF(AD460="","",IF(COUNTIF($AD$2:$AD$1000,AD460)&gt;1,"DUPLICADO NO TG",IF(COUNTIF('Bolsas e auxílios'!$J$5:$J$1000,AD460)=0,"FORA DO CONTROLE","LOCALIZADO")))</f>
        <v/>
      </c>
    </row>
    <row r="461" ht="15.75" customHeight="1"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9" t="str">
        <f t="shared" si="1"/>
        <v/>
      </c>
      <c r="AE461" s="79" t="str">
        <f>IF(AD461="","",IF(COUNTIF($AD$2:$AD$1000,AD461)&gt;1,"DUPLICADO NO TG",IF(COUNTIF('Bolsas e auxílios'!$J$5:$J$1000,AD461)=0,"FORA DO CONTROLE","LOCALIZADO")))</f>
        <v/>
      </c>
    </row>
    <row r="462" ht="15.75" customHeight="1"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9" t="str">
        <f t="shared" si="1"/>
        <v/>
      </c>
      <c r="AE462" s="79" t="str">
        <f>IF(AD462="","",IF(COUNTIF($AD$2:$AD$1000,AD462)&gt;1,"DUPLICADO NO TG",IF(COUNTIF('Bolsas e auxílios'!$J$5:$J$1000,AD462)=0,"FORA DO CONTROLE","LOCALIZADO")))</f>
        <v/>
      </c>
    </row>
    <row r="463" ht="15.75" customHeight="1"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9" t="str">
        <f t="shared" si="1"/>
        <v/>
      </c>
      <c r="AE463" s="79" t="str">
        <f>IF(AD463="","",IF(COUNTIF($AD$2:$AD$1000,AD463)&gt;1,"DUPLICADO NO TG",IF(COUNTIF('Bolsas e auxílios'!$J$5:$J$1000,AD463)=0,"FORA DO CONTROLE","LOCALIZADO")))</f>
        <v/>
      </c>
    </row>
    <row r="464" ht="15.75" customHeight="1"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9" t="str">
        <f t="shared" si="1"/>
        <v/>
      </c>
      <c r="AE464" s="79" t="str">
        <f>IF(AD464="","",IF(COUNTIF($AD$2:$AD$1000,AD464)&gt;1,"DUPLICADO NO TG",IF(COUNTIF('Bolsas e auxílios'!$J$5:$J$1000,AD464)=0,"FORA DO CONTROLE","LOCALIZADO")))</f>
        <v/>
      </c>
    </row>
    <row r="465" ht="15.75" customHeight="1"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9" t="str">
        <f t="shared" si="1"/>
        <v/>
      </c>
      <c r="AE465" s="79" t="str">
        <f>IF(AD465="","",IF(COUNTIF($AD$2:$AD$1000,AD465)&gt;1,"DUPLICADO NO TG",IF(COUNTIF('Bolsas e auxílios'!$J$5:$J$1000,AD465)=0,"FORA DO CONTROLE","LOCALIZADO")))</f>
        <v/>
      </c>
    </row>
    <row r="466" ht="15.75" customHeight="1"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9" t="str">
        <f t="shared" si="1"/>
        <v/>
      </c>
      <c r="AE466" s="79" t="str">
        <f>IF(AD466="","",IF(COUNTIF($AD$2:$AD$1000,AD466)&gt;1,"DUPLICADO NO TG",IF(COUNTIF('Bolsas e auxílios'!$J$5:$J$1000,AD466)=0,"FORA DO CONTROLE","LOCALIZADO")))</f>
        <v/>
      </c>
    </row>
    <row r="467" ht="15.75" customHeight="1"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9" t="str">
        <f t="shared" si="1"/>
        <v/>
      </c>
      <c r="AE467" s="79" t="str">
        <f>IF(AD467="","",IF(COUNTIF($AD$2:$AD$1000,AD467)&gt;1,"DUPLICADO NO TG",IF(COUNTIF('Bolsas e auxílios'!$J$5:$J$1000,AD467)=0,"FORA DO CONTROLE","LOCALIZADO")))</f>
        <v/>
      </c>
    </row>
    <row r="468" ht="15.75" customHeight="1"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9" t="str">
        <f t="shared" si="1"/>
        <v/>
      </c>
      <c r="AE468" s="79" t="str">
        <f>IF(AD468="","",IF(COUNTIF($AD$2:$AD$1000,AD468)&gt;1,"DUPLICADO NO TG",IF(COUNTIF('Bolsas e auxílios'!$J$5:$J$1000,AD468)=0,"FORA DO CONTROLE","LOCALIZADO")))</f>
        <v/>
      </c>
    </row>
    <row r="469" ht="15.75" customHeight="1"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9" t="str">
        <f t="shared" si="1"/>
        <v/>
      </c>
      <c r="AE469" s="79" t="str">
        <f>IF(AD469="","",IF(COUNTIF($AD$2:$AD$1000,AD469)&gt;1,"DUPLICADO NO TG",IF(COUNTIF('Bolsas e auxílios'!$J$5:$J$1000,AD469)=0,"FORA DO CONTROLE","LOCALIZADO")))</f>
        <v/>
      </c>
    </row>
    <row r="470" ht="15.75" customHeight="1"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9" t="str">
        <f t="shared" si="1"/>
        <v/>
      </c>
      <c r="AE470" s="79" t="str">
        <f>IF(AD470="","",IF(COUNTIF($AD$2:$AD$1000,AD470)&gt;1,"DUPLICADO NO TG",IF(COUNTIF('Bolsas e auxílios'!$J$5:$J$1000,AD470)=0,"FORA DO CONTROLE","LOCALIZADO")))</f>
        <v/>
      </c>
    </row>
    <row r="471" ht="15.75" customHeight="1"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9" t="str">
        <f t="shared" si="1"/>
        <v/>
      </c>
      <c r="AE471" s="79" t="str">
        <f>IF(AD471="","",IF(COUNTIF($AD$2:$AD$1000,AD471)&gt;1,"DUPLICADO NO TG",IF(COUNTIF('Bolsas e auxílios'!$J$5:$J$1000,AD471)=0,"FORA DO CONTROLE","LOCALIZADO")))</f>
        <v/>
      </c>
    </row>
    <row r="472" ht="15.75" customHeight="1"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9" t="str">
        <f t="shared" si="1"/>
        <v/>
      </c>
      <c r="AE472" s="79" t="str">
        <f>IF(AD472="","",IF(COUNTIF($AD$2:$AD$1000,AD472)&gt;1,"DUPLICADO NO TG",IF(COUNTIF('Bolsas e auxílios'!$J$5:$J$1000,AD472)=0,"FORA DO CONTROLE","LOCALIZADO")))</f>
        <v/>
      </c>
    </row>
    <row r="473" ht="15.75" customHeight="1"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9" t="str">
        <f t="shared" si="1"/>
        <v/>
      </c>
      <c r="AE473" s="79" t="str">
        <f>IF(AD473="","",IF(COUNTIF($AD$2:$AD$1000,AD473)&gt;1,"DUPLICADO NO TG",IF(COUNTIF('Bolsas e auxílios'!$J$5:$J$1000,AD473)=0,"FORA DO CONTROLE","LOCALIZADO")))</f>
        <v/>
      </c>
    </row>
    <row r="474" ht="15.75" customHeight="1"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9" t="str">
        <f t="shared" si="1"/>
        <v/>
      </c>
      <c r="AE474" s="79" t="str">
        <f>IF(AD474="","",IF(COUNTIF($AD$2:$AD$1000,AD474)&gt;1,"DUPLICADO NO TG",IF(COUNTIF('Bolsas e auxílios'!$J$5:$J$1000,AD474)=0,"FORA DO CONTROLE","LOCALIZADO")))</f>
        <v/>
      </c>
    </row>
    <row r="475" ht="15.75" customHeight="1"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9" t="str">
        <f t="shared" si="1"/>
        <v/>
      </c>
      <c r="AE475" s="79" t="str">
        <f>IF(AD475="","",IF(COUNTIF($AD$2:$AD$1000,AD475)&gt;1,"DUPLICADO NO TG",IF(COUNTIF('Bolsas e auxílios'!$J$5:$J$1000,AD475)=0,"FORA DO CONTROLE","LOCALIZADO")))</f>
        <v/>
      </c>
    </row>
    <row r="476" ht="15.75" customHeight="1"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9" t="str">
        <f t="shared" si="1"/>
        <v/>
      </c>
      <c r="AE476" s="79" t="str">
        <f>IF(AD476="","",IF(COUNTIF($AD$2:$AD$1000,AD476)&gt;1,"DUPLICADO NO TG",IF(COUNTIF('Bolsas e auxílios'!$J$5:$J$1000,AD476)=0,"FORA DO CONTROLE","LOCALIZADO")))</f>
        <v/>
      </c>
    </row>
    <row r="477" ht="15.75" customHeight="1"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9" t="str">
        <f t="shared" si="1"/>
        <v/>
      </c>
      <c r="AE477" s="79" t="str">
        <f>IF(AD477="","",IF(COUNTIF($AD$2:$AD$1000,AD477)&gt;1,"DUPLICADO NO TG",IF(COUNTIF('Bolsas e auxílios'!$J$5:$J$1000,AD477)=0,"FORA DO CONTROLE","LOCALIZADO")))</f>
        <v/>
      </c>
    </row>
    <row r="478" ht="15.75" customHeight="1"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9" t="str">
        <f t="shared" si="1"/>
        <v/>
      </c>
      <c r="AE478" s="79" t="str">
        <f>IF(AD478="","",IF(COUNTIF($AD$2:$AD$1000,AD478)&gt;1,"DUPLICADO NO TG",IF(COUNTIF('Bolsas e auxílios'!$J$5:$J$1000,AD478)=0,"FORA DO CONTROLE","LOCALIZADO")))</f>
        <v/>
      </c>
    </row>
    <row r="479" ht="15.75" customHeight="1"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9" t="str">
        <f t="shared" si="1"/>
        <v/>
      </c>
      <c r="AE479" s="79" t="str">
        <f>IF(AD479="","",IF(COUNTIF($AD$2:$AD$1000,AD479)&gt;1,"DUPLICADO NO TG",IF(COUNTIF('Bolsas e auxílios'!$J$5:$J$1000,AD479)=0,"FORA DO CONTROLE","LOCALIZADO")))</f>
        <v/>
      </c>
    </row>
    <row r="480" ht="15.75" customHeight="1"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9" t="str">
        <f t="shared" si="1"/>
        <v/>
      </c>
      <c r="AE480" s="79" t="str">
        <f>IF(AD480="","",IF(COUNTIF($AD$2:$AD$1000,AD480)&gt;1,"DUPLICADO NO TG",IF(COUNTIF('Bolsas e auxílios'!$J$5:$J$1000,AD480)=0,"FORA DO CONTROLE","LOCALIZADO")))</f>
        <v/>
      </c>
    </row>
    <row r="481" ht="15.75" customHeight="1"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9" t="str">
        <f t="shared" si="1"/>
        <v/>
      </c>
      <c r="AE481" s="79" t="str">
        <f>IF(AD481="","",IF(COUNTIF($AD$2:$AD$1000,AD481)&gt;1,"DUPLICADO NO TG",IF(COUNTIF('Bolsas e auxílios'!$J$5:$J$1000,AD481)=0,"FORA DO CONTROLE","LOCALIZADO")))</f>
        <v/>
      </c>
    </row>
    <row r="482" ht="15.75" customHeight="1"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9" t="str">
        <f t="shared" si="1"/>
        <v/>
      </c>
      <c r="AE482" s="79" t="str">
        <f>IF(AD482="","",IF(COUNTIF($AD$2:$AD$1000,AD482)&gt;1,"DUPLICADO NO TG",IF(COUNTIF('Bolsas e auxílios'!$J$5:$J$1000,AD482)=0,"FORA DO CONTROLE","LOCALIZADO")))</f>
        <v/>
      </c>
    </row>
    <row r="483" ht="15.75" customHeight="1"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9" t="str">
        <f t="shared" si="1"/>
        <v/>
      </c>
      <c r="AE483" s="79" t="str">
        <f>IF(AD483="","",IF(COUNTIF($AD$2:$AD$1000,AD483)&gt;1,"DUPLICADO NO TG",IF(COUNTIF('Bolsas e auxílios'!$J$5:$J$1000,AD483)=0,"FORA DO CONTROLE","LOCALIZADO")))</f>
        <v/>
      </c>
    </row>
    <row r="484" ht="15.75" customHeight="1"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9" t="str">
        <f t="shared" si="1"/>
        <v/>
      </c>
      <c r="AE484" s="79" t="str">
        <f>IF(AD484="","",IF(COUNTIF($AD$2:$AD$1000,AD484)&gt;1,"DUPLICADO NO TG",IF(COUNTIF('Bolsas e auxílios'!$J$5:$J$1000,AD484)=0,"FORA DO CONTROLE","LOCALIZADO")))</f>
        <v/>
      </c>
    </row>
    <row r="485" ht="15.75" customHeight="1"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9" t="str">
        <f t="shared" si="1"/>
        <v/>
      </c>
      <c r="AE485" s="79" t="str">
        <f>IF(AD485="","",IF(COUNTIF($AD$2:$AD$1000,AD485)&gt;1,"DUPLICADO NO TG",IF(COUNTIF('Bolsas e auxílios'!$J$5:$J$1000,AD485)=0,"FORA DO CONTROLE","LOCALIZADO")))</f>
        <v/>
      </c>
    </row>
    <row r="486" ht="15.75" customHeight="1"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9" t="str">
        <f t="shared" si="1"/>
        <v/>
      </c>
      <c r="AE486" s="79" t="str">
        <f>IF(AD486="","",IF(COUNTIF($AD$2:$AD$1000,AD486)&gt;1,"DUPLICADO NO TG",IF(COUNTIF('Bolsas e auxílios'!$J$5:$J$1000,AD486)=0,"FORA DO CONTROLE","LOCALIZADO")))</f>
        <v/>
      </c>
    </row>
    <row r="487" ht="15.75" customHeight="1"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9" t="str">
        <f t="shared" si="1"/>
        <v/>
      </c>
      <c r="AE487" s="79" t="str">
        <f>IF(AD487="","",IF(COUNTIF($AD$2:$AD$1000,AD487)&gt;1,"DUPLICADO NO TG",IF(COUNTIF('Bolsas e auxílios'!$J$5:$J$1000,AD487)=0,"FORA DO CONTROLE","LOCALIZADO")))</f>
        <v/>
      </c>
    </row>
    <row r="488" ht="15.75" customHeight="1"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9" t="str">
        <f t="shared" si="1"/>
        <v/>
      </c>
      <c r="AE488" s="79" t="str">
        <f>IF(AD488="","",IF(COUNTIF($AD$2:$AD$1000,AD488)&gt;1,"DUPLICADO NO TG",IF(COUNTIF('Bolsas e auxílios'!$J$5:$J$1000,AD488)=0,"FORA DO CONTROLE","LOCALIZADO")))</f>
        <v/>
      </c>
    </row>
    <row r="489" ht="15.75" customHeight="1"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9" t="str">
        <f t="shared" si="1"/>
        <v/>
      </c>
      <c r="AE489" s="79" t="str">
        <f>IF(AD489="","",IF(COUNTIF($AD$2:$AD$1000,AD489)&gt;1,"DUPLICADO NO TG",IF(COUNTIF('Bolsas e auxílios'!$J$5:$J$1000,AD489)=0,"FORA DO CONTROLE","LOCALIZADO")))</f>
        <v/>
      </c>
    </row>
    <row r="490" ht="15.75" customHeight="1"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9" t="str">
        <f t="shared" si="1"/>
        <v/>
      </c>
      <c r="AE490" s="79" t="str">
        <f>IF(AD490="","",IF(COUNTIF($AD$2:$AD$1000,AD490)&gt;1,"DUPLICADO NO TG",IF(COUNTIF('Bolsas e auxílios'!$J$5:$J$1000,AD490)=0,"FORA DO CONTROLE","LOCALIZADO")))</f>
        <v/>
      </c>
    </row>
    <row r="491" ht="15.75" customHeight="1"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9" t="str">
        <f t="shared" si="1"/>
        <v/>
      </c>
      <c r="AE491" s="79" t="str">
        <f>IF(AD491="","",IF(COUNTIF($AD$2:$AD$1000,AD491)&gt;1,"DUPLICADO NO TG",IF(COUNTIF('Bolsas e auxílios'!$J$5:$J$1000,AD491)=0,"FORA DO CONTROLE","LOCALIZADO")))</f>
        <v/>
      </c>
    </row>
    <row r="492" ht="15.75" customHeight="1"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9" t="str">
        <f t="shared" si="1"/>
        <v/>
      </c>
      <c r="AE492" s="79" t="str">
        <f>IF(AD492="","",IF(COUNTIF($AD$2:$AD$1000,AD492)&gt;1,"DUPLICADO NO TG",IF(COUNTIF('Bolsas e auxílios'!$J$5:$J$1000,AD492)=0,"FORA DO CONTROLE","LOCALIZADO")))</f>
        <v/>
      </c>
    </row>
    <row r="493" ht="15.75" customHeight="1"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9" t="str">
        <f t="shared" si="1"/>
        <v/>
      </c>
      <c r="AE493" s="79" t="str">
        <f>IF(AD493="","",IF(COUNTIF($AD$2:$AD$1000,AD493)&gt;1,"DUPLICADO NO TG",IF(COUNTIF('Bolsas e auxílios'!$J$5:$J$1000,AD493)=0,"FORA DO CONTROLE","LOCALIZADO")))</f>
        <v/>
      </c>
    </row>
    <row r="494" ht="15.75" customHeight="1"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9" t="str">
        <f t="shared" si="1"/>
        <v/>
      </c>
      <c r="AE494" s="79" t="str">
        <f>IF(AD494="","",IF(COUNTIF($AD$2:$AD$1000,AD494)&gt;1,"DUPLICADO NO TG",IF(COUNTIF('Bolsas e auxílios'!$J$5:$J$1000,AD494)=0,"FORA DO CONTROLE","LOCALIZADO")))</f>
        <v/>
      </c>
    </row>
    <row r="495" ht="15.75" customHeight="1"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9" t="str">
        <f t="shared" si="1"/>
        <v/>
      </c>
      <c r="AE495" s="79" t="str">
        <f>IF(AD495="","",IF(COUNTIF($AD$2:$AD$1000,AD495)&gt;1,"DUPLICADO NO TG",IF(COUNTIF('Bolsas e auxílios'!$J$5:$J$1000,AD495)=0,"FORA DO CONTROLE","LOCALIZADO")))</f>
        <v/>
      </c>
    </row>
    <row r="496" ht="15.75" customHeight="1"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9" t="str">
        <f t="shared" si="1"/>
        <v/>
      </c>
      <c r="AE496" s="79" t="str">
        <f>IF(AD496="","",IF(COUNTIF($AD$2:$AD$1000,AD496)&gt;1,"DUPLICADO NO TG",IF(COUNTIF('Bolsas e auxílios'!$J$5:$J$1000,AD496)=0,"FORA DO CONTROLE","LOCALIZADO")))</f>
        <v/>
      </c>
    </row>
    <row r="497" ht="15.75" customHeight="1"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9" t="str">
        <f t="shared" si="1"/>
        <v/>
      </c>
      <c r="AE497" s="79" t="str">
        <f>IF(AD497="","",IF(COUNTIF($AD$2:$AD$1000,AD497)&gt;1,"DUPLICADO NO TG",IF(COUNTIF('Bolsas e auxílios'!$J$5:$J$1000,AD497)=0,"FORA DO CONTROLE","LOCALIZADO")))</f>
        <v/>
      </c>
    </row>
    <row r="498" ht="15.75" customHeight="1"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9" t="str">
        <f t="shared" si="1"/>
        <v/>
      </c>
      <c r="AE498" s="79" t="str">
        <f>IF(AD498="","",IF(COUNTIF($AD$2:$AD$1000,AD498)&gt;1,"DUPLICADO NO TG",IF(COUNTIF('Bolsas e auxílios'!$J$5:$J$1000,AD498)=0,"FORA DO CONTROLE","LOCALIZADO")))</f>
        <v/>
      </c>
    </row>
    <row r="499" ht="15.75" customHeight="1"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9" t="str">
        <f t="shared" si="1"/>
        <v/>
      </c>
      <c r="AE499" s="79" t="str">
        <f>IF(AD499="","",IF(COUNTIF($AD$2:$AD$1000,AD499)&gt;1,"DUPLICADO NO TG",IF(COUNTIF('Bolsas e auxílios'!$J$5:$J$1000,AD499)=0,"FORA DO CONTROLE","LOCALIZADO")))</f>
        <v/>
      </c>
    </row>
    <row r="500" ht="15.75" customHeight="1"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9" t="str">
        <f t="shared" si="1"/>
        <v/>
      </c>
      <c r="AE500" s="79" t="str">
        <f>IF(AD500="","",IF(COUNTIF($AD$2:$AD$1000,AD500)&gt;1,"DUPLICADO NO TG",IF(COUNTIF('Bolsas e auxílios'!$J$5:$J$1000,AD500)=0,"FORA DO CONTROLE","LOCALIZADO")))</f>
        <v/>
      </c>
    </row>
    <row r="501" ht="15.75" customHeight="1"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9" t="str">
        <f t="shared" si="1"/>
        <v/>
      </c>
      <c r="AE501" s="79" t="str">
        <f>IF(AD501="","",IF(COUNTIF($AD$2:$AD$1000,AD501)&gt;1,"DUPLICADO NO TG",IF(COUNTIF('Bolsas e auxílios'!$J$5:$J$1000,AD501)=0,"FORA DO CONTROLE","LOCALIZADO")))</f>
        <v/>
      </c>
    </row>
    <row r="502" ht="15.75" customHeight="1"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9" t="str">
        <f t="shared" si="1"/>
        <v/>
      </c>
      <c r="AE502" s="79" t="str">
        <f>IF(AD502="","",IF(COUNTIF($AD$2:$AD$1000,AD502)&gt;1,"DUPLICADO NO TG",IF(COUNTIF('Bolsas e auxílios'!$J$5:$J$1000,AD502)=0,"FORA DO CONTROLE","LOCALIZADO")))</f>
        <v/>
      </c>
    </row>
    <row r="503" ht="15.75" customHeight="1"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9" t="str">
        <f t="shared" si="1"/>
        <v/>
      </c>
      <c r="AE503" s="79" t="str">
        <f>IF(AD503="","",IF(COUNTIF($AD$2:$AD$1000,AD503)&gt;1,"DUPLICADO NO TG",IF(COUNTIF('Bolsas e auxílios'!$J$5:$J$1000,AD503)=0,"FORA DO CONTROLE","LOCALIZADO")))</f>
        <v/>
      </c>
    </row>
    <row r="504" ht="15.75" customHeight="1"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9" t="str">
        <f t="shared" si="1"/>
        <v/>
      </c>
      <c r="AE504" s="79" t="str">
        <f>IF(AD504="","",IF(COUNTIF($AD$2:$AD$1000,AD504)&gt;1,"DUPLICADO NO TG",IF(COUNTIF('Bolsas e auxílios'!$J$5:$J$1000,AD504)=0,"FORA DO CONTROLE","LOCALIZADO")))</f>
        <v/>
      </c>
    </row>
    <row r="505" ht="15.75" customHeight="1"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9" t="str">
        <f t="shared" si="1"/>
        <v/>
      </c>
      <c r="AE505" s="79" t="str">
        <f>IF(AD505="","",IF(COUNTIF($AD$2:$AD$1000,AD505)&gt;1,"DUPLICADO NO TG",IF(COUNTIF('Bolsas e auxílios'!$J$5:$J$1000,AD505)=0,"FORA DO CONTROLE","LOCALIZADO")))</f>
        <v/>
      </c>
    </row>
    <row r="506" ht="15.75" customHeight="1"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9" t="str">
        <f t="shared" si="1"/>
        <v/>
      </c>
      <c r="AE506" s="79" t="str">
        <f>IF(AD506="","",IF(COUNTIF($AD$2:$AD$1000,AD506)&gt;1,"DUPLICADO NO TG",IF(COUNTIF('Bolsas e auxílios'!$J$5:$J$1000,AD506)=0,"FORA DO CONTROLE","LOCALIZADO")))</f>
        <v/>
      </c>
    </row>
    <row r="507" ht="15.75" customHeight="1"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9" t="str">
        <f t="shared" si="1"/>
        <v/>
      </c>
      <c r="AE507" s="79" t="str">
        <f>IF(AD507="","",IF(COUNTIF($AD$2:$AD$1000,AD507)&gt;1,"DUPLICADO NO TG",IF(COUNTIF('Bolsas e auxílios'!$J$5:$J$1000,AD507)=0,"FORA DO CONTROLE","LOCALIZADO")))</f>
        <v/>
      </c>
    </row>
    <row r="508" ht="15.75" customHeight="1"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9" t="str">
        <f t="shared" si="1"/>
        <v/>
      </c>
      <c r="AE508" s="79" t="str">
        <f>IF(AD508="","",IF(COUNTIF($AD$2:$AD$1000,AD508)&gt;1,"DUPLICADO NO TG",IF(COUNTIF('Bolsas e auxílios'!$J$5:$J$1000,AD508)=0,"FORA DO CONTROLE","LOCALIZADO")))</f>
        <v/>
      </c>
    </row>
    <row r="509" ht="15.75" customHeight="1"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9" t="str">
        <f t="shared" si="1"/>
        <v/>
      </c>
      <c r="AE509" s="79" t="str">
        <f>IF(AD509="","",IF(COUNTIF($AD$2:$AD$1000,AD509)&gt;1,"DUPLICADO NO TG",IF(COUNTIF('Bolsas e auxílios'!$J$5:$J$1000,AD509)=0,"FORA DO CONTROLE","LOCALIZADO")))</f>
        <v/>
      </c>
    </row>
    <row r="510" ht="15.75" customHeight="1"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9" t="str">
        <f t="shared" si="1"/>
        <v/>
      </c>
      <c r="AE510" s="79" t="str">
        <f>IF(AD510="","",IF(COUNTIF($AD$2:$AD$1000,AD510)&gt;1,"DUPLICADO NO TG",IF(COUNTIF('Bolsas e auxílios'!$J$5:$J$1000,AD510)=0,"FORA DO CONTROLE","LOCALIZADO")))</f>
        <v/>
      </c>
    </row>
    <row r="511" ht="15.75" customHeight="1"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9" t="str">
        <f t="shared" si="1"/>
        <v/>
      </c>
      <c r="AE511" s="79" t="str">
        <f>IF(AD511="","",IF(COUNTIF($AD$2:$AD$1000,AD511)&gt;1,"DUPLICADO NO TG",IF(COUNTIF('Bolsas e auxílios'!$J$5:$J$1000,AD511)=0,"FORA DO CONTROLE","LOCALIZADO")))</f>
        <v/>
      </c>
    </row>
    <row r="512" ht="15.75" customHeight="1"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9" t="str">
        <f t="shared" si="1"/>
        <v/>
      </c>
      <c r="AE512" s="79" t="str">
        <f>IF(AD512="","",IF(COUNTIF($AD$2:$AD$1000,AD512)&gt;1,"DUPLICADO NO TG",IF(COUNTIF('Bolsas e auxílios'!$J$5:$J$1000,AD512)=0,"FORA DO CONTROLE","LOCALIZADO")))</f>
        <v/>
      </c>
    </row>
    <row r="513" ht="15.75" customHeight="1"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9" t="str">
        <f t="shared" si="1"/>
        <v/>
      </c>
      <c r="AE513" s="79" t="str">
        <f>IF(AD513="","",IF(COUNTIF($AD$2:$AD$1000,AD513)&gt;1,"DUPLICADO NO TG",IF(COUNTIF('Bolsas e auxílios'!$J$5:$J$1000,AD513)=0,"FORA DO CONTROLE","LOCALIZADO")))</f>
        <v/>
      </c>
    </row>
    <row r="514" ht="15.75" customHeight="1"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9" t="str">
        <f t="shared" si="1"/>
        <v/>
      </c>
      <c r="AE514" s="79" t="str">
        <f>IF(AD514="","",IF(COUNTIF($AD$2:$AD$1000,AD514)&gt;1,"DUPLICADO NO TG",IF(COUNTIF('Bolsas e auxílios'!$J$5:$J$1000,AD514)=0,"FORA DO CONTROLE","LOCALIZADO")))</f>
        <v/>
      </c>
    </row>
    <row r="515" ht="15.75" customHeight="1"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9" t="str">
        <f t="shared" si="1"/>
        <v/>
      </c>
      <c r="AE515" s="79" t="str">
        <f>IF(AD515="","",IF(COUNTIF($AD$2:$AD$1000,AD515)&gt;1,"DUPLICADO NO TG",IF(COUNTIF('Bolsas e auxílios'!$J$5:$J$1000,AD515)=0,"FORA DO CONTROLE","LOCALIZADO")))</f>
        <v/>
      </c>
    </row>
    <row r="516" ht="15.75" customHeight="1"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9" t="str">
        <f t="shared" si="1"/>
        <v/>
      </c>
      <c r="AE516" s="79" t="str">
        <f>IF(AD516="","",IF(COUNTIF($AD$2:$AD$1000,AD516)&gt;1,"DUPLICADO NO TG",IF(COUNTIF('Bolsas e auxílios'!$J$5:$J$1000,AD516)=0,"FORA DO CONTROLE","LOCALIZADO")))</f>
        <v/>
      </c>
    </row>
    <row r="517" ht="15.75" customHeight="1"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9" t="str">
        <f t="shared" si="1"/>
        <v/>
      </c>
      <c r="AE517" s="79" t="str">
        <f>IF(AD517="","",IF(COUNTIF($AD$2:$AD$1000,AD517)&gt;1,"DUPLICADO NO TG",IF(COUNTIF('Bolsas e auxílios'!$J$5:$J$1000,AD517)=0,"FORA DO CONTROLE","LOCALIZADO")))</f>
        <v/>
      </c>
    </row>
    <row r="518" ht="15.75" customHeight="1"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9" t="str">
        <f t="shared" si="1"/>
        <v/>
      </c>
      <c r="AE518" s="79" t="str">
        <f>IF(AD518="","",IF(COUNTIF($AD$2:$AD$1000,AD518)&gt;1,"DUPLICADO NO TG",IF(COUNTIF('Bolsas e auxílios'!$J$5:$J$1000,AD518)=0,"FORA DO CONTROLE","LOCALIZADO")))</f>
        <v/>
      </c>
    </row>
    <row r="519" ht="15.75" customHeight="1"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9" t="str">
        <f t="shared" si="1"/>
        <v/>
      </c>
      <c r="AE519" s="79" t="str">
        <f>IF(AD519="","",IF(COUNTIF($AD$2:$AD$1000,AD519)&gt;1,"DUPLICADO NO TG",IF(COUNTIF('Bolsas e auxílios'!$J$5:$J$1000,AD519)=0,"FORA DO CONTROLE","LOCALIZADO")))</f>
        <v/>
      </c>
    </row>
    <row r="520" ht="15.75" customHeight="1"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9" t="str">
        <f t="shared" si="1"/>
        <v/>
      </c>
      <c r="AE520" s="79" t="str">
        <f>IF(AD520="","",IF(COUNTIF($AD$2:$AD$1000,AD520)&gt;1,"DUPLICADO NO TG",IF(COUNTIF('Bolsas e auxílios'!$J$5:$J$1000,AD520)=0,"FORA DO CONTROLE","LOCALIZADO")))</f>
        <v/>
      </c>
    </row>
    <row r="521" ht="15.75" customHeight="1"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9" t="str">
        <f t="shared" si="1"/>
        <v/>
      </c>
      <c r="AE521" s="79" t="str">
        <f>IF(AD521="","",IF(COUNTIF($AD$2:$AD$1000,AD521)&gt;1,"DUPLICADO NO TG",IF(COUNTIF('Bolsas e auxílios'!$J$5:$J$1000,AD521)=0,"FORA DO CONTROLE","LOCALIZADO")))</f>
        <v/>
      </c>
    </row>
    <row r="522" ht="15.75" customHeight="1"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9" t="str">
        <f t="shared" si="1"/>
        <v/>
      </c>
      <c r="AE522" s="79" t="str">
        <f>IF(AD522="","",IF(COUNTIF($AD$2:$AD$1000,AD522)&gt;1,"DUPLICADO NO TG",IF(COUNTIF('Bolsas e auxílios'!$J$5:$J$1000,AD522)=0,"FORA DO CONTROLE","LOCALIZADO")))</f>
        <v/>
      </c>
    </row>
    <row r="523" ht="15.75" customHeight="1"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9" t="str">
        <f t="shared" si="1"/>
        <v/>
      </c>
      <c r="AE523" s="79" t="str">
        <f>IF(AD523="","",IF(COUNTIF($AD$2:$AD$1000,AD523)&gt;1,"DUPLICADO NO TG",IF(COUNTIF('Bolsas e auxílios'!$J$5:$J$1000,AD523)=0,"FORA DO CONTROLE","LOCALIZADO")))</f>
        <v/>
      </c>
    </row>
    <row r="524" ht="15.75" customHeight="1"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9" t="str">
        <f t="shared" si="1"/>
        <v/>
      </c>
      <c r="AE524" s="79" t="str">
        <f>IF(AD524="","",IF(COUNTIF($AD$2:$AD$1000,AD524)&gt;1,"DUPLICADO NO TG",IF(COUNTIF('Bolsas e auxílios'!$J$5:$J$1000,AD524)=0,"FORA DO CONTROLE","LOCALIZADO")))</f>
        <v/>
      </c>
    </row>
    <row r="525" ht="15.75" customHeight="1"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9" t="str">
        <f t="shared" si="1"/>
        <v/>
      </c>
      <c r="AE525" s="79" t="str">
        <f>IF(AD525="","",IF(COUNTIF($AD$2:$AD$1000,AD525)&gt;1,"DUPLICADO NO TG",IF(COUNTIF('Bolsas e auxílios'!$J$5:$J$1000,AD525)=0,"FORA DO CONTROLE","LOCALIZADO")))</f>
        <v/>
      </c>
    </row>
    <row r="526" ht="15.75" customHeight="1"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9" t="str">
        <f t="shared" si="1"/>
        <v/>
      </c>
      <c r="AE526" s="79" t="str">
        <f>IF(AD526="","",IF(COUNTIF($AD$2:$AD$1000,AD526)&gt;1,"DUPLICADO NO TG",IF(COUNTIF('Bolsas e auxílios'!$J$5:$J$1000,AD526)=0,"FORA DO CONTROLE","LOCALIZADO")))</f>
        <v/>
      </c>
    </row>
    <row r="527" ht="15.75" customHeight="1"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9" t="str">
        <f t="shared" si="1"/>
        <v/>
      </c>
      <c r="AE527" s="79" t="str">
        <f>IF(AD527="","",IF(COUNTIF($AD$2:$AD$1000,AD527)&gt;1,"DUPLICADO NO TG",IF(COUNTIF('Bolsas e auxílios'!$J$5:$J$1000,AD527)=0,"FORA DO CONTROLE","LOCALIZADO")))</f>
        <v/>
      </c>
    </row>
    <row r="528" ht="15.75" customHeight="1"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9" t="str">
        <f t="shared" si="1"/>
        <v/>
      </c>
      <c r="AE528" s="79" t="str">
        <f>IF(AD528="","",IF(COUNTIF($AD$2:$AD$1000,AD528)&gt;1,"DUPLICADO NO TG",IF(COUNTIF('Bolsas e auxílios'!$J$5:$J$1000,AD528)=0,"FORA DO CONTROLE","LOCALIZADO")))</f>
        <v/>
      </c>
    </row>
    <row r="529" ht="15.75" customHeight="1"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9" t="str">
        <f t="shared" si="1"/>
        <v/>
      </c>
      <c r="AE529" s="79" t="str">
        <f>IF(AD529="","",IF(COUNTIF($AD$2:$AD$1000,AD529)&gt;1,"DUPLICADO NO TG",IF(COUNTIF('Bolsas e auxílios'!$J$5:$J$1000,AD529)=0,"FORA DO CONTROLE","LOCALIZADO")))</f>
        <v/>
      </c>
    </row>
    <row r="530" ht="15.75" customHeight="1"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9" t="str">
        <f t="shared" si="1"/>
        <v/>
      </c>
      <c r="AE530" s="79" t="str">
        <f>IF(AD530="","",IF(COUNTIF($AD$2:$AD$1000,AD530)&gt;1,"DUPLICADO NO TG",IF(COUNTIF('Bolsas e auxílios'!$J$5:$J$1000,AD530)=0,"FORA DO CONTROLE","LOCALIZADO")))</f>
        <v/>
      </c>
    </row>
    <row r="531" ht="15.75" customHeight="1"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9" t="str">
        <f t="shared" si="1"/>
        <v/>
      </c>
      <c r="AE531" s="79" t="str">
        <f>IF(AD531="","",IF(COUNTIF($AD$2:$AD$1000,AD531)&gt;1,"DUPLICADO NO TG",IF(COUNTIF('Bolsas e auxílios'!$J$5:$J$1000,AD531)=0,"FORA DO CONTROLE","LOCALIZADO")))</f>
        <v/>
      </c>
    </row>
    <row r="532" ht="15.75" customHeight="1"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9" t="str">
        <f t="shared" si="1"/>
        <v/>
      </c>
      <c r="AE532" s="79" t="str">
        <f>IF(AD532="","",IF(COUNTIF($AD$2:$AD$1000,AD532)&gt;1,"DUPLICADO NO TG",IF(COUNTIF('Bolsas e auxílios'!$J$5:$J$1000,AD532)=0,"FORA DO CONTROLE","LOCALIZADO")))</f>
        <v/>
      </c>
    </row>
    <row r="533" ht="15.75" customHeight="1"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9" t="str">
        <f t="shared" si="1"/>
        <v/>
      </c>
      <c r="AE533" s="79" t="str">
        <f>IF(AD533="","",IF(COUNTIF($AD$2:$AD$1000,AD533)&gt;1,"DUPLICADO NO TG",IF(COUNTIF('Bolsas e auxílios'!$J$5:$J$1000,AD533)=0,"FORA DO CONTROLE","LOCALIZADO")))</f>
        <v/>
      </c>
    </row>
    <row r="534" ht="15.75" customHeight="1"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9" t="str">
        <f t="shared" si="1"/>
        <v/>
      </c>
      <c r="AE534" s="79" t="str">
        <f>IF(AD534="","",IF(COUNTIF($AD$2:$AD$1000,AD534)&gt;1,"DUPLICADO NO TG",IF(COUNTIF('Bolsas e auxílios'!$J$5:$J$1000,AD534)=0,"FORA DO CONTROLE","LOCALIZADO")))</f>
        <v/>
      </c>
    </row>
    <row r="535" ht="15.75" customHeight="1"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9" t="str">
        <f t="shared" si="1"/>
        <v/>
      </c>
      <c r="AE535" s="79" t="str">
        <f>IF(AD535="","",IF(COUNTIF($AD$2:$AD$1000,AD535)&gt;1,"DUPLICADO NO TG",IF(COUNTIF('Bolsas e auxílios'!$J$5:$J$1000,AD535)=0,"FORA DO CONTROLE","LOCALIZADO")))</f>
        <v/>
      </c>
    </row>
    <row r="536" ht="15.75" customHeight="1"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9" t="str">
        <f t="shared" si="1"/>
        <v/>
      </c>
      <c r="AE536" s="79" t="str">
        <f>IF(AD536="","",IF(COUNTIF($AD$2:$AD$1000,AD536)&gt;1,"DUPLICADO NO TG",IF(COUNTIF('Bolsas e auxílios'!$J$5:$J$1000,AD536)=0,"FORA DO CONTROLE","LOCALIZADO")))</f>
        <v/>
      </c>
    </row>
    <row r="537" ht="15.75" customHeight="1"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9" t="str">
        <f t="shared" si="1"/>
        <v/>
      </c>
      <c r="AE537" s="79" t="str">
        <f>IF(AD537="","",IF(COUNTIF($AD$2:$AD$1000,AD537)&gt;1,"DUPLICADO NO TG",IF(COUNTIF('Bolsas e auxílios'!$J$5:$J$1000,AD537)=0,"FORA DO CONTROLE","LOCALIZADO")))</f>
        <v/>
      </c>
    </row>
    <row r="538" ht="15.75" customHeight="1"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9" t="str">
        <f t="shared" si="1"/>
        <v/>
      </c>
      <c r="AE538" s="79" t="str">
        <f>IF(AD538="","",IF(COUNTIF($AD$2:$AD$1000,AD538)&gt;1,"DUPLICADO NO TG",IF(COUNTIF('Bolsas e auxílios'!$J$5:$J$1000,AD538)=0,"FORA DO CONTROLE","LOCALIZADO")))</f>
        <v/>
      </c>
    </row>
    <row r="539" ht="15.75" customHeight="1"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9" t="str">
        <f t="shared" si="1"/>
        <v/>
      </c>
      <c r="AE539" s="79" t="str">
        <f>IF(AD539="","",IF(COUNTIF($AD$2:$AD$1000,AD539)&gt;1,"DUPLICADO NO TG",IF(COUNTIF('Bolsas e auxílios'!$J$5:$J$1000,AD539)=0,"FORA DO CONTROLE","LOCALIZADO")))</f>
        <v/>
      </c>
    </row>
    <row r="540" ht="15.75" customHeight="1"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9" t="str">
        <f t="shared" si="1"/>
        <v/>
      </c>
      <c r="AE540" s="79" t="str">
        <f>IF(AD540="","",IF(COUNTIF($AD$2:$AD$1000,AD540)&gt;1,"DUPLICADO NO TG",IF(COUNTIF('Bolsas e auxílios'!$J$5:$J$1000,AD540)=0,"FORA DO CONTROLE","LOCALIZADO")))</f>
        <v/>
      </c>
    </row>
    <row r="541" ht="15.75" customHeight="1"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9" t="str">
        <f t="shared" si="1"/>
        <v/>
      </c>
      <c r="AE541" s="79" t="str">
        <f>IF(AD541="","",IF(COUNTIF($AD$2:$AD$1000,AD541)&gt;1,"DUPLICADO NO TG",IF(COUNTIF('Bolsas e auxílios'!$J$5:$J$1000,AD541)=0,"FORA DO CONTROLE","LOCALIZADO")))</f>
        <v/>
      </c>
    </row>
    <row r="542" ht="15.75" customHeight="1"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9" t="str">
        <f t="shared" si="1"/>
        <v/>
      </c>
      <c r="AE542" s="79" t="str">
        <f>IF(AD542="","",IF(COUNTIF($AD$2:$AD$1000,AD542)&gt;1,"DUPLICADO NO TG",IF(COUNTIF('Bolsas e auxílios'!$J$5:$J$1000,AD542)=0,"FORA DO CONTROLE","LOCALIZADO")))</f>
        <v/>
      </c>
    </row>
    <row r="543" ht="15.75" customHeight="1"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9" t="str">
        <f t="shared" si="1"/>
        <v/>
      </c>
      <c r="AE543" s="79" t="str">
        <f>IF(AD543="","",IF(COUNTIF($AD$2:$AD$1000,AD543)&gt;1,"DUPLICADO NO TG",IF(COUNTIF('Bolsas e auxílios'!$J$5:$J$1000,AD543)=0,"FORA DO CONTROLE","LOCALIZADO")))</f>
        <v/>
      </c>
    </row>
    <row r="544" ht="15.75" customHeight="1"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9" t="str">
        <f t="shared" si="1"/>
        <v/>
      </c>
      <c r="AE544" s="79" t="str">
        <f>IF(AD544="","",IF(COUNTIF($AD$2:$AD$1000,AD544)&gt;1,"DUPLICADO NO TG",IF(COUNTIF('Bolsas e auxílios'!$J$5:$J$1000,AD544)=0,"FORA DO CONTROLE","LOCALIZADO")))</f>
        <v/>
      </c>
    </row>
    <row r="545" ht="15.75" customHeight="1"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9" t="str">
        <f t="shared" si="1"/>
        <v/>
      </c>
      <c r="AE545" s="79" t="str">
        <f>IF(AD545="","",IF(COUNTIF($AD$2:$AD$1000,AD545)&gt;1,"DUPLICADO NO TG",IF(COUNTIF('Bolsas e auxílios'!$J$5:$J$1000,AD545)=0,"FORA DO CONTROLE","LOCALIZADO")))</f>
        <v/>
      </c>
    </row>
    <row r="546" ht="15.75" customHeight="1"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9" t="str">
        <f t="shared" si="1"/>
        <v/>
      </c>
      <c r="AE546" s="79" t="str">
        <f>IF(AD546="","",IF(COUNTIF($AD$2:$AD$1000,AD546)&gt;1,"DUPLICADO NO TG",IF(COUNTIF('Bolsas e auxílios'!$J$5:$J$1000,AD546)=0,"FORA DO CONTROLE","LOCALIZADO")))</f>
        <v/>
      </c>
    </row>
    <row r="547" ht="15.75" customHeight="1"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9" t="str">
        <f t="shared" si="1"/>
        <v/>
      </c>
      <c r="AE547" s="79" t="str">
        <f>IF(AD547="","",IF(COUNTIF($AD$2:$AD$1000,AD547)&gt;1,"DUPLICADO NO TG",IF(COUNTIF('Bolsas e auxílios'!$J$5:$J$1000,AD547)=0,"FORA DO CONTROLE","LOCALIZADO")))</f>
        <v/>
      </c>
    </row>
    <row r="548" ht="15.75" customHeight="1"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9" t="str">
        <f t="shared" si="1"/>
        <v/>
      </c>
      <c r="AE548" s="79" t="str">
        <f>IF(AD548="","",IF(COUNTIF($AD$2:$AD$1000,AD548)&gt;1,"DUPLICADO NO TG",IF(COUNTIF('Bolsas e auxílios'!$J$5:$J$1000,AD548)=0,"FORA DO CONTROLE","LOCALIZADO")))</f>
        <v/>
      </c>
    </row>
    <row r="549" ht="15.75" customHeight="1"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9" t="str">
        <f t="shared" si="1"/>
        <v/>
      </c>
      <c r="AE549" s="79" t="str">
        <f>IF(AD549="","",IF(COUNTIF($AD$2:$AD$1000,AD549)&gt;1,"DUPLICADO NO TG",IF(COUNTIF('Bolsas e auxílios'!$J$5:$J$1000,AD549)=0,"FORA DO CONTROLE","LOCALIZADO")))</f>
        <v/>
      </c>
    </row>
    <row r="550" ht="15.75" customHeight="1"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9" t="str">
        <f t="shared" si="1"/>
        <v/>
      </c>
      <c r="AE550" s="79" t="str">
        <f>IF(AD550="","",IF(COUNTIF($AD$2:$AD$1000,AD550)&gt;1,"DUPLICADO NO TG",IF(COUNTIF('Bolsas e auxílios'!$J$5:$J$1000,AD550)=0,"FORA DO CONTROLE","LOCALIZADO")))</f>
        <v/>
      </c>
    </row>
    <row r="551" ht="15.75" customHeight="1"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9" t="str">
        <f t="shared" si="1"/>
        <v/>
      </c>
      <c r="AE551" s="79" t="str">
        <f>IF(AD551="","",IF(COUNTIF($AD$2:$AD$1000,AD551)&gt;1,"DUPLICADO NO TG",IF(COUNTIF('Bolsas e auxílios'!$J$5:$J$1000,AD551)=0,"FORA DO CONTROLE","LOCALIZADO")))</f>
        <v/>
      </c>
    </row>
    <row r="552" ht="15.75" customHeight="1"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9" t="str">
        <f t="shared" si="1"/>
        <v/>
      </c>
      <c r="AE552" s="79" t="str">
        <f>IF(AD552="","",IF(COUNTIF($AD$2:$AD$1000,AD552)&gt;1,"DUPLICADO NO TG",IF(COUNTIF('Bolsas e auxílios'!$J$5:$J$1000,AD552)=0,"FORA DO CONTROLE","LOCALIZADO")))</f>
        <v/>
      </c>
    </row>
    <row r="553" ht="15.75" customHeight="1"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9" t="str">
        <f t="shared" si="1"/>
        <v/>
      </c>
      <c r="AE553" s="79" t="str">
        <f>IF(AD553="","",IF(COUNTIF($AD$2:$AD$1000,AD553)&gt;1,"DUPLICADO NO TG",IF(COUNTIF('Bolsas e auxílios'!$J$5:$J$1000,AD553)=0,"FORA DO CONTROLE","LOCALIZADO")))</f>
        <v/>
      </c>
    </row>
    <row r="554" ht="15.75" customHeight="1"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9" t="str">
        <f t="shared" si="1"/>
        <v/>
      </c>
      <c r="AE554" s="79" t="str">
        <f>IF(AD554="","",IF(COUNTIF($AD$2:$AD$1000,AD554)&gt;1,"DUPLICADO NO TG",IF(COUNTIF('Bolsas e auxílios'!$J$5:$J$1000,AD554)=0,"FORA DO CONTROLE","LOCALIZADO")))</f>
        <v/>
      </c>
    </row>
    <row r="555" ht="15.75" customHeight="1"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9" t="str">
        <f t="shared" si="1"/>
        <v/>
      </c>
      <c r="AE555" s="79" t="str">
        <f>IF(AD555="","",IF(COUNTIF($AD$2:$AD$1000,AD555)&gt;1,"DUPLICADO NO TG",IF(COUNTIF('Bolsas e auxílios'!$J$5:$J$1000,AD555)=0,"FORA DO CONTROLE","LOCALIZADO")))</f>
        <v/>
      </c>
    </row>
    <row r="556" ht="15.75" customHeight="1"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9" t="str">
        <f t="shared" si="1"/>
        <v/>
      </c>
      <c r="AE556" s="79" t="str">
        <f>IF(AD556="","",IF(COUNTIF($AD$2:$AD$1000,AD556)&gt;1,"DUPLICADO NO TG",IF(COUNTIF('Bolsas e auxílios'!$J$5:$J$1000,AD556)=0,"FORA DO CONTROLE","LOCALIZADO")))</f>
        <v/>
      </c>
    </row>
    <row r="557" ht="15.75" customHeight="1"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9" t="str">
        <f t="shared" si="1"/>
        <v/>
      </c>
      <c r="AE557" s="79" t="str">
        <f>IF(AD557="","",IF(COUNTIF($AD$2:$AD$1000,AD557)&gt;1,"DUPLICADO NO TG",IF(COUNTIF('Bolsas e auxílios'!$J$5:$J$1000,AD557)=0,"FORA DO CONTROLE","LOCALIZADO")))</f>
        <v/>
      </c>
    </row>
    <row r="558" ht="15.75" customHeight="1"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9" t="str">
        <f t="shared" si="1"/>
        <v/>
      </c>
      <c r="AE558" s="79" t="str">
        <f>IF(AD558="","",IF(COUNTIF($AD$2:$AD$1000,AD558)&gt;1,"DUPLICADO NO TG",IF(COUNTIF('Bolsas e auxílios'!$J$5:$J$1000,AD558)=0,"FORA DO CONTROLE","LOCALIZADO")))</f>
        <v/>
      </c>
    </row>
    <row r="559" ht="15.75" customHeight="1"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9" t="str">
        <f t="shared" si="1"/>
        <v/>
      </c>
      <c r="AE559" s="79" t="str">
        <f>IF(AD559="","",IF(COUNTIF($AD$2:$AD$1000,AD559)&gt;1,"DUPLICADO NO TG",IF(COUNTIF('Bolsas e auxílios'!$J$5:$J$1000,AD559)=0,"FORA DO CONTROLE","LOCALIZADO")))</f>
        <v/>
      </c>
    </row>
    <row r="560" ht="15.75" customHeight="1"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9" t="str">
        <f t="shared" si="1"/>
        <v/>
      </c>
      <c r="AE560" s="79" t="str">
        <f>IF(AD560="","",IF(COUNTIF($AD$2:$AD$1000,AD560)&gt;1,"DUPLICADO NO TG",IF(COUNTIF('Bolsas e auxílios'!$J$5:$J$1000,AD560)=0,"FORA DO CONTROLE","LOCALIZADO")))</f>
        <v/>
      </c>
    </row>
    <row r="561" ht="15.75" customHeight="1"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9" t="str">
        <f t="shared" si="1"/>
        <v/>
      </c>
      <c r="AE561" s="79" t="str">
        <f>IF(AD561="","",IF(COUNTIF($AD$2:$AD$1000,AD561)&gt;1,"DUPLICADO NO TG",IF(COUNTIF('Bolsas e auxílios'!$J$5:$J$1000,AD561)=0,"FORA DO CONTROLE","LOCALIZADO")))</f>
        <v/>
      </c>
    </row>
    <row r="562" ht="15.75" customHeight="1"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9" t="str">
        <f t="shared" si="1"/>
        <v/>
      </c>
      <c r="AE562" s="79" t="str">
        <f>IF(AD562="","",IF(COUNTIF($AD$2:$AD$1000,AD562)&gt;1,"DUPLICADO NO TG",IF(COUNTIF('Bolsas e auxílios'!$J$5:$J$1000,AD562)=0,"FORA DO CONTROLE","LOCALIZADO")))</f>
        <v/>
      </c>
    </row>
    <row r="563" ht="15.75" customHeight="1"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9" t="str">
        <f t="shared" si="1"/>
        <v/>
      </c>
      <c r="AE563" s="79" t="str">
        <f>IF(AD563="","",IF(COUNTIF($AD$2:$AD$1000,AD563)&gt;1,"DUPLICADO NO TG",IF(COUNTIF('Bolsas e auxílios'!$J$5:$J$1000,AD563)=0,"FORA DO CONTROLE","LOCALIZADO")))</f>
        <v/>
      </c>
    </row>
    <row r="564" ht="15.75" customHeight="1"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9" t="str">
        <f t="shared" si="1"/>
        <v/>
      </c>
      <c r="AE564" s="79" t="str">
        <f>IF(AD564="","",IF(COUNTIF($AD$2:$AD$1000,AD564)&gt;1,"DUPLICADO NO TG",IF(COUNTIF('Bolsas e auxílios'!$J$5:$J$1000,AD564)=0,"FORA DO CONTROLE","LOCALIZADO")))</f>
        <v/>
      </c>
    </row>
    <row r="565" ht="15.75" customHeight="1"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9" t="str">
        <f t="shared" si="1"/>
        <v/>
      </c>
      <c r="AE565" s="79" t="str">
        <f>IF(AD565="","",IF(COUNTIF($AD$2:$AD$1000,AD565)&gt;1,"DUPLICADO NO TG",IF(COUNTIF('Bolsas e auxílios'!$J$5:$J$1000,AD565)=0,"FORA DO CONTROLE","LOCALIZADO")))</f>
        <v/>
      </c>
    </row>
    <row r="566" ht="15.75" customHeight="1"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9" t="str">
        <f t="shared" si="1"/>
        <v/>
      </c>
      <c r="AE566" s="79" t="str">
        <f>IF(AD566="","",IF(COUNTIF($AD$2:$AD$1000,AD566)&gt;1,"DUPLICADO NO TG",IF(COUNTIF('Bolsas e auxílios'!$J$5:$J$1000,AD566)=0,"FORA DO CONTROLE","LOCALIZADO")))</f>
        <v/>
      </c>
    </row>
    <row r="567" ht="15.75" customHeight="1"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9" t="str">
        <f t="shared" si="1"/>
        <v/>
      </c>
      <c r="AE567" s="79" t="str">
        <f>IF(AD567="","",IF(COUNTIF($AD$2:$AD$1000,AD567)&gt;1,"DUPLICADO NO TG",IF(COUNTIF('Bolsas e auxílios'!$J$5:$J$1000,AD567)=0,"FORA DO CONTROLE","LOCALIZADO")))</f>
        <v/>
      </c>
    </row>
    <row r="568" ht="15.75" customHeight="1"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9" t="str">
        <f t="shared" si="1"/>
        <v/>
      </c>
      <c r="AE568" s="79" t="str">
        <f>IF(AD568="","",IF(COUNTIF($AD$2:$AD$1000,AD568)&gt;1,"DUPLICADO NO TG",IF(COUNTIF('Bolsas e auxílios'!$J$5:$J$1000,AD568)=0,"FORA DO CONTROLE","LOCALIZADO")))</f>
        <v/>
      </c>
    </row>
    <row r="569" ht="15.75" customHeight="1"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9" t="str">
        <f t="shared" si="1"/>
        <v/>
      </c>
      <c r="AE569" s="79" t="str">
        <f>IF(AD569="","",IF(COUNTIF($AD$2:$AD$1000,AD569)&gt;1,"DUPLICADO NO TG",IF(COUNTIF('Bolsas e auxílios'!$J$5:$J$1000,AD569)=0,"FORA DO CONTROLE","LOCALIZADO")))</f>
        <v/>
      </c>
    </row>
    <row r="570" ht="15.75" customHeight="1"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9" t="str">
        <f t="shared" si="1"/>
        <v/>
      </c>
      <c r="AE570" s="79" t="str">
        <f>IF(AD570="","",IF(COUNTIF($AD$2:$AD$1000,AD570)&gt;1,"DUPLICADO NO TG",IF(COUNTIF('Bolsas e auxílios'!$J$5:$J$1000,AD570)=0,"FORA DO CONTROLE","LOCALIZADO")))</f>
        <v/>
      </c>
    </row>
    <row r="571" ht="15.75" customHeight="1"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9" t="str">
        <f t="shared" si="1"/>
        <v/>
      </c>
      <c r="AE571" s="79" t="str">
        <f>IF(AD571="","",IF(COUNTIF($AD$2:$AD$1000,AD571)&gt;1,"DUPLICADO NO TG",IF(COUNTIF('Bolsas e auxílios'!$J$5:$J$1000,AD571)=0,"FORA DO CONTROLE","LOCALIZADO")))</f>
        <v/>
      </c>
    </row>
    <row r="572" ht="15.75" customHeight="1"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9" t="str">
        <f t="shared" si="1"/>
        <v/>
      </c>
      <c r="AE572" s="79" t="str">
        <f>IF(AD572="","",IF(COUNTIF($AD$2:$AD$1000,AD572)&gt;1,"DUPLICADO NO TG",IF(COUNTIF('Bolsas e auxílios'!$J$5:$J$1000,AD572)=0,"FORA DO CONTROLE","LOCALIZADO")))</f>
        <v/>
      </c>
    </row>
    <row r="573" ht="15.75" customHeight="1"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9" t="str">
        <f t="shared" si="1"/>
        <v/>
      </c>
      <c r="AE573" s="79" t="str">
        <f>IF(AD573="","",IF(COUNTIF($AD$2:$AD$1000,AD573)&gt;1,"DUPLICADO NO TG",IF(COUNTIF('Bolsas e auxílios'!$J$5:$J$1000,AD573)=0,"FORA DO CONTROLE","LOCALIZADO")))</f>
        <v/>
      </c>
    </row>
    <row r="574" ht="15.75" customHeight="1"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9" t="str">
        <f t="shared" si="1"/>
        <v/>
      </c>
      <c r="AE574" s="79" t="str">
        <f>IF(AD574="","",IF(COUNTIF($AD$2:$AD$1000,AD574)&gt;1,"DUPLICADO NO TG",IF(COUNTIF('Bolsas e auxílios'!$J$5:$J$1000,AD574)=0,"FORA DO CONTROLE","LOCALIZADO")))</f>
        <v/>
      </c>
    </row>
    <row r="575" ht="15.75" customHeight="1"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9" t="str">
        <f t="shared" si="1"/>
        <v/>
      </c>
      <c r="AE575" s="79" t="str">
        <f>IF(AD575="","",IF(COUNTIF($AD$2:$AD$1000,AD575)&gt;1,"DUPLICADO NO TG",IF(COUNTIF('Bolsas e auxílios'!$J$5:$J$1000,AD575)=0,"FORA DO CONTROLE","LOCALIZADO")))</f>
        <v/>
      </c>
    </row>
    <row r="576" ht="15.75" customHeight="1"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9" t="str">
        <f t="shared" si="1"/>
        <v/>
      </c>
      <c r="AE576" s="79" t="str">
        <f>IF(AD576="","",IF(COUNTIF($AD$2:$AD$1000,AD576)&gt;1,"DUPLICADO NO TG",IF(COUNTIF('Bolsas e auxílios'!$J$5:$J$1000,AD576)=0,"FORA DO CONTROLE","LOCALIZADO")))</f>
        <v/>
      </c>
    </row>
    <row r="577" ht="15.75" customHeight="1"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9" t="str">
        <f t="shared" si="1"/>
        <v/>
      </c>
      <c r="AE577" s="79" t="str">
        <f>IF(AD577="","",IF(COUNTIF($AD$2:$AD$1000,AD577)&gt;1,"DUPLICADO NO TG",IF(COUNTIF('Bolsas e auxílios'!$J$5:$J$1000,AD577)=0,"FORA DO CONTROLE","LOCALIZADO")))</f>
        <v/>
      </c>
    </row>
    <row r="578" ht="15.75" customHeight="1"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9" t="str">
        <f t="shared" si="1"/>
        <v/>
      </c>
      <c r="AE578" s="79" t="str">
        <f>IF(AD578="","",IF(COUNTIF($AD$2:$AD$1000,AD578)&gt;1,"DUPLICADO NO TG",IF(COUNTIF('Bolsas e auxílios'!$J$5:$J$1000,AD578)=0,"FORA DO CONTROLE","LOCALIZADO")))</f>
        <v/>
      </c>
    </row>
    <row r="579" ht="15.75" customHeight="1"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9" t="str">
        <f t="shared" si="1"/>
        <v/>
      </c>
      <c r="AE579" s="79" t="str">
        <f>IF(AD579="","",IF(COUNTIF($AD$2:$AD$1000,AD579)&gt;1,"DUPLICADO NO TG",IF(COUNTIF('Bolsas e auxílios'!$J$5:$J$1000,AD579)=0,"FORA DO CONTROLE","LOCALIZADO")))</f>
        <v/>
      </c>
    </row>
    <row r="580" ht="15.75" customHeight="1"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9" t="str">
        <f t="shared" si="1"/>
        <v/>
      </c>
      <c r="AE580" s="79" t="str">
        <f>IF(AD580="","",IF(COUNTIF($AD$2:$AD$1000,AD580)&gt;1,"DUPLICADO NO TG",IF(COUNTIF('Bolsas e auxílios'!$J$5:$J$1000,AD580)=0,"FORA DO CONTROLE","LOCALIZADO")))</f>
        <v/>
      </c>
    </row>
    <row r="581" ht="15.75" customHeight="1"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9" t="str">
        <f t="shared" si="1"/>
        <v/>
      </c>
      <c r="AE581" s="79" t="str">
        <f>IF(AD581="","",IF(COUNTIF($AD$2:$AD$1000,AD581)&gt;1,"DUPLICADO NO TG",IF(COUNTIF('Bolsas e auxílios'!$J$5:$J$1000,AD581)=0,"FORA DO CONTROLE","LOCALIZADO")))</f>
        <v/>
      </c>
    </row>
    <row r="582" ht="15.75" customHeight="1"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9" t="str">
        <f t="shared" si="1"/>
        <v/>
      </c>
      <c r="AE582" s="79" t="str">
        <f>IF(AD582="","",IF(COUNTIF($AD$2:$AD$1000,AD582)&gt;1,"DUPLICADO NO TG",IF(COUNTIF('Bolsas e auxílios'!$J$5:$J$1000,AD582)=0,"FORA DO CONTROLE","LOCALIZADO")))</f>
        <v/>
      </c>
    </row>
    <row r="583" ht="15.75" customHeight="1"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9" t="str">
        <f t="shared" si="1"/>
        <v/>
      </c>
      <c r="AE583" s="79" t="str">
        <f>IF(AD583="","",IF(COUNTIF($AD$2:$AD$1000,AD583)&gt;1,"DUPLICADO NO TG",IF(COUNTIF('Bolsas e auxílios'!$J$5:$J$1000,AD583)=0,"FORA DO CONTROLE","LOCALIZADO")))</f>
        <v/>
      </c>
    </row>
    <row r="584" ht="15.75" customHeight="1"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9" t="str">
        <f t="shared" si="1"/>
        <v/>
      </c>
      <c r="AE584" s="79" t="str">
        <f>IF(AD584="","",IF(COUNTIF($AD$2:$AD$1000,AD584)&gt;1,"DUPLICADO NO TG",IF(COUNTIF('Bolsas e auxílios'!$J$5:$J$1000,AD584)=0,"FORA DO CONTROLE","LOCALIZADO")))</f>
        <v/>
      </c>
    </row>
    <row r="585" ht="15.75" customHeight="1"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9" t="str">
        <f t="shared" si="1"/>
        <v/>
      </c>
      <c r="AE585" s="79" t="str">
        <f>IF(AD585="","",IF(COUNTIF($AD$2:$AD$1000,AD585)&gt;1,"DUPLICADO NO TG",IF(COUNTIF('Bolsas e auxílios'!$J$5:$J$1000,AD585)=0,"FORA DO CONTROLE","LOCALIZADO")))</f>
        <v/>
      </c>
    </row>
    <row r="586" ht="15.75" customHeight="1"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9" t="str">
        <f t="shared" si="1"/>
        <v/>
      </c>
      <c r="AE586" s="79" t="str">
        <f>IF(AD586="","",IF(COUNTIF($AD$2:$AD$1000,AD586)&gt;1,"DUPLICADO NO TG",IF(COUNTIF('Bolsas e auxílios'!$J$5:$J$1000,AD586)=0,"FORA DO CONTROLE","LOCALIZADO")))</f>
        <v/>
      </c>
    </row>
    <row r="587" ht="15.75" customHeight="1"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9" t="str">
        <f t="shared" si="1"/>
        <v/>
      </c>
      <c r="AE587" s="79" t="str">
        <f>IF(AD587="","",IF(COUNTIF($AD$2:$AD$1000,AD587)&gt;1,"DUPLICADO NO TG",IF(COUNTIF('Bolsas e auxílios'!$J$5:$J$1000,AD587)=0,"FORA DO CONTROLE","LOCALIZADO")))</f>
        <v/>
      </c>
    </row>
    <row r="588" ht="15.75" customHeight="1"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9" t="str">
        <f t="shared" si="1"/>
        <v/>
      </c>
      <c r="AE588" s="79" t="str">
        <f>IF(AD588="","",IF(COUNTIF($AD$2:$AD$1000,AD588)&gt;1,"DUPLICADO NO TG",IF(COUNTIF('Bolsas e auxílios'!$J$5:$J$1000,AD588)=0,"FORA DO CONTROLE","LOCALIZADO")))</f>
        <v/>
      </c>
    </row>
    <row r="589" ht="15.75" customHeight="1"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9" t="str">
        <f t="shared" si="1"/>
        <v/>
      </c>
      <c r="AE589" s="79" t="str">
        <f>IF(AD589="","",IF(COUNTIF($AD$2:$AD$1000,AD589)&gt;1,"DUPLICADO NO TG",IF(COUNTIF('Bolsas e auxílios'!$J$5:$J$1000,AD589)=0,"FORA DO CONTROLE","LOCALIZADO")))</f>
        <v/>
      </c>
    </row>
    <row r="590" ht="15.75" customHeight="1"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9" t="str">
        <f t="shared" si="1"/>
        <v/>
      </c>
      <c r="AE590" s="79" t="str">
        <f>IF(AD590="","",IF(COUNTIF($AD$2:$AD$1000,AD590)&gt;1,"DUPLICADO NO TG",IF(COUNTIF('Bolsas e auxílios'!$J$5:$J$1000,AD590)=0,"FORA DO CONTROLE","LOCALIZADO")))</f>
        <v/>
      </c>
    </row>
    <row r="591" ht="15.75" customHeight="1"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9" t="str">
        <f t="shared" si="1"/>
        <v/>
      </c>
      <c r="AE591" s="79" t="str">
        <f>IF(AD591="","",IF(COUNTIF($AD$2:$AD$1000,AD591)&gt;1,"DUPLICADO NO TG",IF(COUNTIF('Bolsas e auxílios'!$J$5:$J$1000,AD591)=0,"FORA DO CONTROLE","LOCALIZADO")))</f>
        <v/>
      </c>
    </row>
    <row r="592" ht="15.75" customHeight="1"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9" t="str">
        <f t="shared" si="1"/>
        <v/>
      </c>
      <c r="AE592" s="79" t="str">
        <f>IF(AD592="","",IF(COUNTIF($AD$2:$AD$1000,AD592)&gt;1,"DUPLICADO NO TG",IF(COUNTIF('Bolsas e auxílios'!$J$5:$J$1000,AD592)=0,"FORA DO CONTROLE","LOCALIZADO")))</f>
        <v/>
      </c>
    </row>
    <row r="593" ht="15.75" customHeight="1"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9" t="str">
        <f t="shared" si="1"/>
        <v/>
      </c>
      <c r="AE593" s="79" t="str">
        <f>IF(AD593="","",IF(COUNTIF($AD$2:$AD$1000,AD593)&gt;1,"DUPLICADO NO TG",IF(COUNTIF('Bolsas e auxílios'!$J$5:$J$1000,AD593)=0,"FORA DO CONTROLE","LOCALIZADO")))</f>
        <v/>
      </c>
    </row>
    <row r="594" ht="15.75" customHeight="1"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9" t="str">
        <f t="shared" si="1"/>
        <v/>
      </c>
      <c r="AE594" s="79" t="str">
        <f>IF(AD594="","",IF(COUNTIF($AD$2:$AD$1000,AD594)&gt;1,"DUPLICADO NO TG",IF(COUNTIF('Bolsas e auxílios'!$J$5:$J$1000,AD594)=0,"FORA DO CONTROLE","LOCALIZADO")))</f>
        <v/>
      </c>
    </row>
    <row r="595" ht="15.75" customHeight="1"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9" t="str">
        <f t="shared" si="1"/>
        <v/>
      </c>
      <c r="AE595" s="79" t="str">
        <f>IF(AD595="","",IF(COUNTIF($AD$2:$AD$1000,AD595)&gt;1,"DUPLICADO NO TG",IF(COUNTIF('Bolsas e auxílios'!$J$5:$J$1000,AD595)=0,"FORA DO CONTROLE","LOCALIZADO")))</f>
        <v/>
      </c>
    </row>
    <row r="596" ht="15.75" customHeight="1"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9" t="str">
        <f t="shared" si="1"/>
        <v/>
      </c>
      <c r="AE596" s="79" t="str">
        <f>IF(AD596="","",IF(COUNTIF($AD$2:$AD$1000,AD596)&gt;1,"DUPLICADO NO TG",IF(COUNTIF('Bolsas e auxílios'!$J$5:$J$1000,AD596)=0,"FORA DO CONTROLE","LOCALIZADO")))</f>
        <v/>
      </c>
    </row>
    <row r="597" ht="15.75" customHeight="1"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9" t="str">
        <f t="shared" si="1"/>
        <v/>
      </c>
      <c r="AE597" s="79" t="str">
        <f>IF(AD597="","",IF(COUNTIF($AD$2:$AD$1000,AD597)&gt;1,"DUPLICADO NO TG",IF(COUNTIF('Bolsas e auxílios'!$J$5:$J$1000,AD597)=0,"FORA DO CONTROLE","LOCALIZADO")))</f>
        <v/>
      </c>
    </row>
    <row r="598" ht="15.75" customHeight="1"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9" t="str">
        <f t="shared" si="1"/>
        <v/>
      </c>
      <c r="AE598" s="79" t="str">
        <f>IF(AD598="","",IF(COUNTIF($AD$2:$AD$1000,AD598)&gt;1,"DUPLICADO NO TG",IF(COUNTIF('Bolsas e auxílios'!$J$5:$J$1000,AD598)=0,"FORA DO CONTROLE","LOCALIZADO")))</f>
        <v/>
      </c>
    </row>
    <row r="599" ht="15.75" customHeight="1"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9" t="str">
        <f t="shared" si="1"/>
        <v/>
      </c>
      <c r="AE599" s="79" t="str">
        <f>IF(AD599="","",IF(COUNTIF($AD$2:$AD$1000,AD599)&gt;1,"DUPLICADO NO TG",IF(COUNTIF('Bolsas e auxílios'!$J$5:$J$1000,AD599)=0,"FORA DO CONTROLE","LOCALIZADO")))</f>
        <v/>
      </c>
    </row>
    <row r="600" ht="15.75" customHeight="1"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9" t="str">
        <f t="shared" si="1"/>
        <v/>
      </c>
      <c r="AE600" s="79" t="str">
        <f>IF(AD600="","",IF(COUNTIF($AD$2:$AD$1000,AD600)&gt;1,"DUPLICADO NO TG",IF(COUNTIF('Bolsas e auxílios'!$J$5:$J$1000,AD600)=0,"FORA DO CONTROLE","LOCALIZADO")))</f>
        <v/>
      </c>
    </row>
    <row r="601" ht="15.75" customHeight="1"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9" t="str">
        <f t="shared" si="1"/>
        <v/>
      </c>
      <c r="AE601" s="79" t="str">
        <f>IF(AD601="","",IF(COUNTIF($AD$2:$AD$1000,AD601)&gt;1,"DUPLICADO NO TG",IF(COUNTIF('Bolsas e auxílios'!$J$5:$J$1000,AD601)=0,"FORA DO CONTROLE","LOCALIZADO")))</f>
        <v/>
      </c>
    </row>
    <row r="602" ht="15.75" customHeight="1"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9" t="str">
        <f t="shared" si="1"/>
        <v/>
      </c>
      <c r="AE602" s="79" t="str">
        <f>IF(AD602="","",IF(COUNTIF($AD$2:$AD$1000,AD602)&gt;1,"DUPLICADO NO TG",IF(COUNTIF('Bolsas e auxílios'!$J$5:$J$1000,AD602)=0,"FORA DO CONTROLE","LOCALIZADO")))</f>
        <v/>
      </c>
    </row>
    <row r="603" ht="15.75" customHeight="1"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9" t="str">
        <f t="shared" si="1"/>
        <v/>
      </c>
      <c r="AE603" s="79" t="str">
        <f>IF(AD603="","",IF(COUNTIF($AD$2:$AD$1000,AD603)&gt;1,"DUPLICADO NO TG",IF(COUNTIF('Bolsas e auxílios'!$J$5:$J$1000,AD603)=0,"FORA DO CONTROLE","LOCALIZADO")))</f>
        <v/>
      </c>
    </row>
    <row r="604" ht="15.75" customHeight="1"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9" t="str">
        <f t="shared" si="1"/>
        <v/>
      </c>
      <c r="AE604" s="79" t="str">
        <f>IF(AD604="","",IF(COUNTIF($AD$2:$AD$1000,AD604)&gt;1,"DUPLICADO NO TG",IF(COUNTIF('Bolsas e auxílios'!$J$5:$J$1000,AD604)=0,"FORA DO CONTROLE","LOCALIZADO")))</f>
        <v/>
      </c>
    </row>
    <row r="605" ht="15.75" customHeight="1"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9" t="str">
        <f t="shared" si="1"/>
        <v/>
      </c>
      <c r="AE605" s="79" t="str">
        <f>IF(AD605="","",IF(COUNTIF($AD$2:$AD$1000,AD605)&gt;1,"DUPLICADO NO TG",IF(COUNTIF('Bolsas e auxílios'!$J$5:$J$1000,AD605)=0,"FORA DO CONTROLE","LOCALIZADO")))</f>
        <v/>
      </c>
    </row>
    <row r="606" ht="15.75" customHeight="1"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9" t="str">
        <f t="shared" si="1"/>
        <v/>
      </c>
      <c r="AE606" s="79" t="str">
        <f>IF(AD606="","",IF(COUNTIF($AD$2:$AD$1000,AD606)&gt;1,"DUPLICADO NO TG",IF(COUNTIF('Bolsas e auxílios'!$J$5:$J$1000,AD606)=0,"FORA DO CONTROLE","LOCALIZADO")))</f>
        <v/>
      </c>
    </row>
    <row r="607" ht="15.75" customHeight="1"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9" t="str">
        <f t="shared" si="1"/>
        <v/>
      </c>
      <c r="AE607" s="79" t="str">
        <f>IF(AD607="","",IF(COUNTIF($AD$2:$AD$1000,AD607)&gt;1,"DUPLICADO NO TG",IF(COUNTIF('Bolsas e auxílios'!$J$5:$J$1000,AD607)=0,"FORA DO CONTROLE","LOCALIZADO")))</f>
        <v/>
      </c>
    </row>
    <row r="608" ht="15.75" customHeight="1"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9" t="str">
        <f t="shared" si="1"/>
        <v/>
      </c>
      <c r="AE608" s="79" t="str">
        <f>IF(AD608="","",IF(COUNTIF($AD$2:$AD$1000,AD608)&gt;1,"DUPLICADO NO TG",IF(COUNTIF('Bolsas e auxílios'!$J$5:$J$1000,AD608)=0,"FORA DO CONTROLE","LOCALIZADO")))</f>
        <v/>
      </c>
    </row>
    <row r="609" ht="15.75" customHeight="1"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9" t="str">
        <f t="shared" si="1"/>
        <v/>
      </c>
      <c r="AE609" s="79" t="str">
        <f>IF(AD609="","",IF(COUNTIF($AD$2:$AD$1000,AD609)&gt;1,"DUPLICADO NO TG",IF(COUNTIF('Bolsas e auxílios'!$J$5:$J$1000,AD609)=0,"FORA DO CONTROLE","LOCALIZADO")))</f>
        <v/>
      </c>
    </row>
    <row r="610" ht="15.75" customHeight="1"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9" t="str">
        <f t="shared" si="1"/>
        <v/>
      </c>
      <c r="AE610" s="79" t="str">
        <f>IF(AD610="","",IF(COUNTIF($AD$2:$AD$1000,AD610)&gt;1,"DUPLICADO NO TG",IF(COUNTIF('Bolsas e auxílios'!$J$5:$J$1000,AD610)=0,"FORA DO CONTROLE","LOCALIZADO")))</f>
        <v/>
      </c>
    </row>
    <row r="611" ht="15.75" customHeight="1"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9" t="str">
        <f t="shared" si="1"/>
        <v/>
      </c>
      <c r="AE611" s="79" t="str">
        <f>IF(AD611="","",IF(COUNTIF($AD$2:$AD$1000,AD611)&gt;1,"DUPLICADO NO TG",IF(COUNTIF('Bolsas e auxílios'!$J$5:$J$1000,AD611)=0,"FORA DO CONTROLE","LOCALIZADO")))</f>
        <v/>
      </c>
    </row>
    <row r="612" ht="15.75" customHeight="1"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9" t="str">
        <f t="shared" si="1"/>
        <v/>
      </c>
      <c r="AE612" s="79" t="str">
        <f>IF(AD612="","",IF(COUNTIF($AD$2:$AD$1000,AD612)&gt;1,"DUPLICADO NO TG",IF(COUNTIF('Bolsas e auxílios'!$J$5:$J$1000,AD612)=0,"FORA DO CONTROLE","LOCALIZADO")))</f>
        <v/>
      </c>
    </row>
    <row r="613" ht="15.75" customHeight="1"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9" t="str">
        <f t="shared" si="1"/>
        <v/>
      </c>
      <c r="AE613" s="79" t="str">
        <f>IF(AD613="","",IF(COUNTIF($AD$2:$AD$1000,AD613)&gt;1,"DUPLICADO NO TG",IF(COUNTIF('Bolsas e auxílios'!$J$5:$J$1000,AD613)=0,"FORA DO CONTROLE","LOCALIZADO")))</f>
        <v/>
      </c>
    </row>
    <row r="614" ht="15.75" customHeight="1"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9" t="str">
        <f t="shared" si="1"/>
        <v/>
      </c>
      <c r="AE614" s="79" t="str">
        <f>IF(AD614="","",IF(COUNTIF($AD$2:$AD$1000,AD614)&gt;1,"DUPLICADO NO TG",IF(COUNTIF('Bolsas e auxílios'!$J$5:$J$1000,AD614)=0,"FORA DO CONTROLE","LOCALIZADO")))</f>
        <v/>
      </c>
    </row>
    <row r="615" ht="15.75" customHeight="1"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9" t="str">
        <f t="shared" si="1"/>
        <v/>
      </c>
      <c r="AE615" s="79" t="str">
        <f>IF(AD615="","",IF(COUNTIF($AD$2:$AD$1000,AD615)&gt;1,"DUPLICADO NO TG",IF(COUNTIF('Bolsas e auxílios'!$J$5:$J$1000,AD615)=0,"FORA DO CONTROLE","LOCALIZADO")))</f>
        <v/>
      </c>
    </row>
    <row r="616" ht="15.75" customHeight="1"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9" t="str">
        <f t="shared" si="1"/>
        <v/>
      </c>
      <c r="AE616" s="79" t="str">
        <f>IF(AD616="","",IF(COUNTIF($AD$2:$AD$1000,AD616)&gt;1,"DUPLICADO NO TG",IF(COUNTIF('Bolsas e auxílios'!$J$5:$J$1000,AD616)=0,"FORA DO CONTROLE","LOCALIZADO")))</f>
        <v/>
      </c>
    </row>
    <row r="617" ht="15.75" customHeight="1"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9" t="str">
        <f t="shared" si="1"/>
        <v/>
      </c>
      <c r="AE617" s="79" t="str">
        <f>IF(AD617="","",IF(COUNTIF($AD$2:$AD$1000,AD617)&gt;1,"DUPLICADO NO TG",IF(COUNTIF('Bolsas e auxílios'!$J$5:$J$1000,AD617)=0,"FORA DO CONTROLE","LOCALIZADO")))</f>
        <v/>
      </c>
    </row>
    <row r="618" ht="15.75" customHeight="1"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9" t="str">
        <f t="shared" si="1"/>
        <v/>
      </c>
      <c r="AE618" s="79" t="str">
        <f>IF(AD618="","",IF(COUNTIF($AD$2:$AD$1000,AD618)&gt;1,"DUPLICADO NO TG",IF(COUNTIF('Bolsas e auxílios'!$J$5:$J$1000,AD618)=0,"FORA DO CONTROLE","LOCALIZADO")))</f>
        <v/>
      </c>
    </row>
    <row r="619" ht="15.75" customHeight="1"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9" t="str">
        <f t="shared" si="1"/>
        <v/>
      </c>
      <c r="AE619" s="79" t="str">
        <f>IF(AD619="","",IF(COUNTIF($AD$2:$AD$1000,AD619)&gt;1,"DUPLICADO NO TG",IF(COUNTIF('Bolsas e auxílios'!$J$5:$J$1000,AD619)=0,"FORA DO CONTROLE","LOCALIZADO")))</f>
        <v/>
      </c>
    </row>
    <row r="620" ht="15.75" customHeight="1"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9" t="str">
        <f t="shared" si="1"/>
        <v/>
      </c>
      <c r="AE620" s="79" t="str">
        <f>IF(AD620="","",IF(COUNTIF($AD$2:$AD$1000,AD620)&gt;1,"DUPLICADO NO TG",IF(COUNTIF('Bolsas e auxílios'!$J$5:$J$1000,AD620)=0,"FORA DO CONTROLE","LOCALIZADO")))</f>
        <v/>
      </c>
    </row>
    <row r="621" ht="15.75" customHeight="1"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9" t="str">
        <f t="shared" si="1"/>
        <v/>
      </c>
      <c r="AE621" s="79" t="str">
        <f>IF(AD621="","",IF(COUNTIF($AD$2:$AD$1000,AD621)&gt;1,"DUPLICADO NO TG",IF(COUNTIF('Bolsas e auxílios'!$J$5:$J$1000,AD621)=0,"FORA DO CONTROLE","LOCALIZADO")))</f>
        <v/>
      </c>
    </row>
    <row r="622" ht="15.75" customHeight="1"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9" t="str">
        <f t="shared" si="1"/>
        <v/>
      </c>
      <c r="AE622" s="79" t="str">
        <f>IF(AD622="","",IF(COUNTIF($AD$2:$AD$1000,AD622)&gt;1,"DUPLICADO NO TG",IF(COUNTIF('Bolsas e auxílios'!$J$5:$J$1000,AD622)=0,"FORA DO CONTROLE","LOCALIZADO")))</f>
        <v/>
      </c>
    </row>
    <row r="623" ht="15.75" customHeight="1"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9" t="str">
        <f t="shared" si="1"/>
        <v/>
      </c>
      <c r="AE623" s="79" t="str">
        <f>IF(AD623="","",IF(COUNTIF($AD$2:$AD$1000,AD623)&gt;1,"DUPLICADO NO TG",IF(COUNTIF('Bolsas e auxílios'!$J$5:$J$1000,AD623)=0,"FORA DO CONTROLE","LOCALIZADO")))</f>
        <v/>
      </c>
    </row>
    <row r="624" ht="15.75" customHeight="1"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9" t="str">
        <f t="shared" si="1"/>
        <v/>
      </c>
      <c r="AE624" s="79" t="str">
        <f>IF(AD624="","",IF(COUNTIF($AD$2:$AD$1000,AD624)&gt;1,"DUPLICADO NO TG",IF(COUNTIF('Bolsas e auxílios'!$J$5:$J$1000,AD624)=0,"FORA DO CONTROLE","LOCALIZADO")))</f>
        <v/>
      </c>
    </row>
    <row r="625" ht="15.75" customHeight="1"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9" t="str">
        <f t="shared" si="1"/>
        <v/>
      </c>
      <c r="AE625" s="79" t="str">
        <f>IF(AD625="","",IF(COUNTIF($AD$2:$AD$1000,AD625)&gt;1,"DUPLICADO NO TG",IF(COUNTIF('Bolsas e auxílios'!$J$5:$J$1000,AD625)=0,"FORA DO CONTROLE","LOCALIZADO")))</f>
        <v/>
      </c>
    </row>
    <row r="626" ht="15.75" customHeight="1"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9" t="str">
        <f t="shared" si="1"/>
        <v/>
      </c>
      <c r="AE626" s="79" t="str">
        <f>IF(AD626="","",IF(COUNTIF($AD$2:$AD$1000,AD626)&gt;1,"DUPLICADO NO TG",IF(COUNTIF('Bolsas e auxílios'!$J$5:$J$1000,AD626)=0,"FORA DO CONTROLE","LOCALIZADO")))</f>
        <v/>
      </c>
    </row>
    <row r="627" ht="15.75" customHeight="1"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9" t="str">
        <f t="shared" si="1"/>
        <v/>
      </c>
      <c r="AE627" s="79" t="str">
        <f>IF(AD627="","",IF(COUNTIF($AD$2:$AD$1000,AD627)&gt;1,"DUPLICADO NO TG",IF(COUNTIF('Bolsas e auxílios'!$J$5:$J$1000,AD627)=0,"FORA DO CONTROLE","LOCALIZADO")))</f>
        <v/>
      </c>
    </row>
    <row r="628" ht="15.75" customHeight="1"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9" t="str">
        <f t="shared" si="1"/>
        <v/>
      </c>
      <c r="AE628" s="79" t="str">
        <f>IF(AD628="","",IF(COUNTIF($AD$2:$AD$1000,AD628)&gt;1,"DUPLICADO NO TG",IF(COUNTIF('Bolsas e auxílios'!$J$5:$J$1000,AD628)=0,"FORA DO CONTROLE","LOCALIZADO")))</f>
        <v/>
      </c>
    </row>
    <row r="629" ht="15.75" customHeight="1"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9" t="str">
        <f t="shared" si="1"/>
        <v/>
      </c>
      <c r="AE629" s="79" t="str">
        <f>IF(AD629="","",IF(COUNTIF($AD$2:$AD$1000,AD629)&gt;1,"DUPLICADO NO TG",IF(COUNTIF('Bolsas e auxílios'!$J$5:$J$1000,AD629)=0,"FORA DO CONTROLE","LOCALIZADO")))</f>
        <v/>
      </c>
    </row>
    <row r="630" ht="15.75" customHeight="1"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9" t="str">
        <f t="shared" si="1"/>
        <v/>
      </c>
      <c r="AE630" s="79" t="str">
        <f>IF(AD630="","",IF(COUNTIF($AD$2:$AD$1000,AD630)&gt;1,"DUPLICADO NO TG",IF(COUNTIF('Bolsas e auxílios'!$J$5:$J$1000,AD630)=0,"FORA DO CONTROLE","LOCALIZADO")))</f>
        <v/>
      </c>
    </row>
    <row r="631" ht="15.75" customHeight="1"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9" t="str">
        <f t="shared" si="1"/>
        <v/>
      </c>
      <c r="AE631" s="79" t="str">
        <f>IF(AD631="","",IF(COUNTIF($AD$2:$AD$1000,AD631)&gt;1,"DUPLICADO NO TG",IF(COUNTIF('Bolsas e auxílios'!$J$5:$J$1000,AD631)=0,"FORA DO CONTROLE","LOCALIZADO")))</f>
        <v/>
      </c>
    </row>
    <row r="632" ht="15.75" customHeight="1"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9" t="str">
        <f t="shared" si="1"/>
        <v/>
      </c>
      <c r="AE632" s="79" t="str">
        <f>IF(AD632="","",IF(COUNTIF($AD$2:$AD$1000,AD632)&gt;1,"DUPLICADO NO TG",IF(COUNTIF('Bolsas e auxílios'!$J$5:$J$1000,AD632)=0,"FORA DO CONTROLE","LOCALIZADO")))</f>
        <v/>
      </c>
    </row>
    <row r="633" ht="15.75" customHeight="1"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9" t="str">
        <f t="shared" si="1"/>
        <v/>
      </c>
      <c r="AE633" s="79" t="str">
        <f>IF(AD633="","",IF(COUNTIF($AD$2:$AD$1000,AD633)&gt;1,"DUPLICADO NO TG",IF(COUNTIF('Bolsas e auxílios'!$J$5:$J$1000,AD633)=0,"FORA DO CONTROLE","LOCALIZADO")))</f>
        <v/>
      </c>
    </row>
    <row r="634" ht="15.75" customHeight="1"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9" t="str">
        <f t="shared" si="1"/>
        <v/>
      </c>
      <c r="AE634" s="79" t="str">
        <f>IF(AD634="","",IF(COUNTIF($AD$2:$AD$1000,AD634)&gt;1,"DUPLICADO NO TG",IF(COUNTIF('Bolsas e auxílios'!$J$5:$J$1000,AD634)=0,"FORA DO CONTROLE","LOCALIZADO")))</f>
        <v/>
      </c>
    </row>
    <row r="635" ht="15.75" customHeight="1"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9" t="str">
        <f t="shared" si="1"/>
        <v/>
      </c>
      <c r="AE635" s="79" t="str">
        <f>IF(AD635="","",IF(COUNTIF($AD$2:$AD$1000,AD635)&gt;1,"DUPLICADO NO TG",IF(COUNTIF('Bolsas e auxílios'!$J$5:$J$1000,AD635)=0,"FORA DO CONTROLE","LOCALIZADO")))</f>
        <v/>
      </c>
    </row>
    <row r="636" ht="15.75" customHeight="1"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9" t="str">
        <f t="shared" si="1"/>
        <v/>
      </c>
      <c r="AE636" s="79" t="str">
        <f>IF(AD636="","",IF(COUNTIF($AD$2:$AD$1000,AD636)&gt;1,"DUPLICADO NO TG",IF(COUNTIF('Bolsas e auxílios'!$J$5:$J$1000,AD636)=0,"FORA DO CONTROLE","LOCALIZADO")))</f>
        <v/>
      </c>
    </row>
    <row r="637" ht="15.75" customHeight="1"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9" t="str">
        <f t="shared" si="1"/>
        <v/>
      </c>
      <c r="AE637" s="79" t="str">
        <f>IF(AD637="","",IF(COUNTIF($AD$2:$AD$1000,AD637)&gt;1,"DUPLICADO NO TG",IF(COUNTIF('Bolsas e auxílios'!$J$5:$J$1000,AD637)=0,"FORA DO CONTROLE","LOCALIZADO")))</f>
        <v/>
      </c>
    </row>
    <row r="638" ht="15.75" customHeight="1"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9" t="str">
        <f t="shared" si="1"/>
        <v/>
      </c>
      <c r="AE638" s="79" t="str">
        <f>IF(AD638="","",IF(COUNTIF($AD$2:$AD$1000,AD638)&gt;1,"DUPLICADO NO TG",IF(COUNTIF('Bolsas e auxílios'!$J$5:$J$1000,AD638)=0,"FORA DO CONTROLE","LOCALIZADO")))</f>
        <v/>
      </c>
    </row>
    <row r="639" ht="15.75" customHeight="1"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9" t="str">
        <f t="shared" si="1"/>
        <v/>
      </c>
      <c r="AE639" s="79" t="str">
        <f>IF(AD639="","",IF(COUNTIF($AD$2:$AD$1000,AD639)&gt;1,"DUPLICADO NO TG",IF(COUNTIF('Bolsas e auxílios'!$J$5:$J$1000,AD639)=0,"FORA DO CONTROLE","LOCALIZADO")))</f>
        <v/>
      </c>
    </row>
    <row r="640" ht="15.75" customHeight="1"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9" t="str">
        <f t="shared" si="1"/>
        <v/>
      </c>
      <c r="AE640" s="79" t="str">
        <f>IF(AD640="","",IF(COUNTIF($AD$2:$AD$1000,AD640)&gt;1,"DUPLICADO NO TG",IF(COUNTIF('Bolsas e auxílios'!$J$5:$J$1000,AD640)=0,"FORA DO CONTROLE","LOCALIZADO")))</f>
        <v/>
      </c>
    </row>
    <row r="641" ht="15.75" customHeight="1"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9" t="str">
        <f t="shared" si="1"/>
        <v/>
      </c>
      <c r="AE641" s="79" t="str">
        <f>IF(AD641="","",IF(COUNTIF($AD$2:$AD$1000,AD641)&gt;1,"DUPLICADO NO TG",IF(COUNTIF('Bolsas e auxílios'!$J$5:$J$1000,AD641)=0,"FORA DO CONTROLE","LOCALIZADO")))</f>
        <v/>
      </c>
    </row>
    <row r="642" ht="15.75" customHeight="1"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9" t="str">
        <f t="shared" si="1"/>
        <v/>
      </c>
      <c r="AE642" s="79" t="str">
        <f>IF(AD642="","",IF(COUNTIF($AD$2:$AD$1000,AD642)&gt;1,"DUPLICADO NO TG",IF(COUNTIF('Bolsas e auxílios'!$J$5:$J$1000,AD642)=0,"FORA DO CONTROLE","LOCALIZADO")))</f>
        <v/>
      </c>
    </row>
    <row r="643" ht="15.75" customHeight="1"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9" t="str">
        <f t="shared" si="1"/>
        <v/>
      </c>
      <c r="AE643" s="79" t="str">
        <f>IF(AD643="","",IF(COUNTIF($AD$2:$AD$1000,AD643)&gt;1,"DUPLICADO NO TG",IF(COUNTIF('Bolsas e auxílios'!$J$5:$J$1000,AD643)=0,"FORA DO CONTROLE","LOCALIZADO")))</f>
        <v/>
      </c>
    </row>
    <row r="644" ht="15.75" customHeight="1"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9" t="str">
        <f t="shared" si="1"/>
        <v/>
      </c>
      <c r="AE644" s="79" t="str">
        <f>IF(AD644="","",IF(COUNTIF($AD$2:$AD$1000,AD644)&gt;1,"DUPLICADO NO TG",IF(COUNTIF('Bolsas e auxílios'!$J$5:$J$1000,AD644)=0,"FORA DO CONTROLE","LOCALIZADO")))</f>
        <v/>
      </c>
    </row>
    <row r="645" ht="15.75" customHeight="1"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9" t="str">
        <f t="shared" si="1"/>
        <v/>
      </c>
      <c r="AE645" s="79" t="str">
        <f>IF(AD645="","",IF(COUNTIF($AD$2:$AD$1000,AD645)&gt;1,"DUPLICADO NO TG",IF(COUNTIF('Bolsas e auxílios'!$J$5:$J$1000,AD645)=0,"FORA DO CONTROLE","LOCALIZADO")))</f>
        <v/>
      </c>
    </row>
    <row r="646" ht="15.75" customHeight="1"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9" t="str">
        <f t="shared" si="1"/>
        <v/>
      </c>
      <c r="AE646" s="79" t="str">
        <f>IF(AD646="","",IF(COUNTIF($AD$2:$AD$1000,AD646)&gt;1,"DUPLICADO NO TG",IF(COUNTIF('Bolsas e auxílios'!$J$5:$J$1000,AD646)=0,"FORA DO CONTROLE","LOCALIZADO")))</f>
        <v/>
      </c>
    </row>
    <row r="647" ht="15.75" customHeight="1"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9" t="str">
        <f t="shared" si="1"/>
        <v/>
      </c>
      <c r="AE647" s="79" t="str">
        <f>IF(AD647="","",IF(COUNTIF($AD$2:$AD$1000,AD647)&gt;1,"DUPLICADO NO TG",IF(COUNTIF('Bolsas e auxílios'!$J$5:$J$1000,AD647)=0,"FORA DO CONTROLE","LOCALIZADO")))</f>
        <v/>
      </c>
    </row>
    <row r="648" ht="15.75" customHeight="1"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9" t="str">
        <f t="shared" si="1"/>
        <v/>
      </c>
      <c r="AE648" s="79" t="str">
        <f>IF(AD648="","",IF(COUNTIF($AD$2:$AD$1000,AD648)&gt;1,"DUPLICADO NO TG",IF(COUNTIF('Bolsas e auxílios'!$J$5:$J$1000,AD648)=0,"FORA DO CONTROLE","LOCALIZADO")))</f>
        <v/>
      </c>
    </row>
    <row r="649" ht="15.75" customHeight="1"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9" t="str">
        <f t="shared" si="1"/>
        <v/>
      </c>
      <c r="AE649" s="79" t="str">
        <f>IF(AD649="","",IF(COUNTIF($AD$2:$AD$1000,AD649)&gt;1,"DUPLICADO NO TG",IF(COUNTIF('Bolsas e auxílios'!$J$5:$J$1000,AD649)=0,"FORA DO CONTROLE","LOCALIZADO")))</f>
        <v/>
      </c>
    </row>
    <row r="650" ht="15.75" customHeight="1"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9" t="str">
        <f t="shared" si="1"/>
        <v/>
      </c>
      <c r="AE650" s="79" t="str">
        <f>IF(AD650="","",IF(COUNTIF($AD$2:$AD$1000,AD650)&gt;1,"DUPLICADO NO TG",IF(COUNTIF('Bolsas e auxílios'!$J$5:$J$1000,AD650)=0,"FORA DO CONTROLE","LOCALIZADO")))</f>
        <v/>
      </c>
    </row>
    <row r="651" ht="15.75" customHeight="1"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9" t="str">
        <f t="shared" si="1"/>
        <v/>
      </c>
      <c r="AE651" s="79" t="str">
        <f>IF(AD651="","",IF(COUNTIF($AD$2:$AD$1000,AD651)&gt;1,"DUPLICADO NO TG",IF(COUNTIF('Bolsas e auxílios'!$J$5:$J$1000,AD651)=0,"FORA DO CONTROLE","LOCALIZADO")))</f>
        <v/>
      </c>
    </row>
    <row r="652" ht="15.75" customHeight="1"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9" t="str">
        <f t="shared" si="1"/>
        <v/>
      </c>
      <c r="AE652" s="79" t="str">
        <f>IF(AD652="","",IF(COUNTIF($AD$2:$AD$1000,AD652)&gt;1,"DUPLICADO NO TG",IF(COUNTIF('Bolsas e auxílios'!$J$5:$J$1000,AD652)=0,"FORA DO CONTROLE","LOCALIZADO")))</f>
        <v/>
      </c>
    </row>
    <row r="653" ht="15.75" customHeight="1"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9" t="str">
        <f t="shared" si="1"/>
        <v/>
      </c>
      <c r="AE653" s="79" t="str">
        <f>IF(AD653="","",IF(COUNTIF($AD$2:$AD$1000,AD653)&gt;1,"DUPLICADO NO TG",IF(COUNTIF('Bolsas e auxílios'!$J$5:$J$1000,AD653)=0,"FORA DO CONTROLE","LOCALIZADO")))</f>
        <v/>
      </c>
    </row>
    <row r="654" ht="15.75" customHeight="1"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9" t="str">
        <f t="shared" si="1"/>
        <v/>
      </c>
      <c r="AE654" s="79" t="str">
        <f>IF(AD654="","",IF(COUNTIF($AD$2:$AD$1000,AD654)&gt;1,"DUPLICADO NO TG",IF(COUNTIF('Bolsas e auxílios'!$J$5:$J$1000,AD654)=0,"FORA DO CONTROLE","LOCALIZADO")))</f>
        <v/>
      </c>
    </row>
    <row r="655" ht="15.75" customHeight="1"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9" t="str">
        <f t="shared" si="1"/>
        <v/>
      </c>
      <c r="AE655" s="79" t="str">
        <f>IF(AD655="","",IF(COUNTIF($AD$2:$AD$1000,AD655)&gt;1,"DUPLICADO NO TG",IF(COUNTIF('Bolsas e auxílios'!$J$5:$J$1000,AD655)=0,"FORA DO CONTROLE","LOCALIZADO")))</f>
        <v/>
      </c>
    </row>
    <row r="656" ht="15.75" customHeight="1"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9" t="str">
        <f t="shared" si="1"/>
        <v/>
      </c>
      <c r="AE656" s="79" t="str">
        <f>IF(AD656="","",IF(COUNTIF($AD$2:$AD$1000,AD656)&gt;1,"DUPLICADO NO TG",IF(COUNTIF('Bolsas e auxílios'!$J$5:$J$1000,AD656)=0,"FORA DO CONTROLE","LOCALIZADO")))</f>
        <v/>
      </c>
    </row>
    <row r="657" ht="15.75" customHeight="1"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9" t="str">
        <f t="shared" si="1"/>
        <v/>
      </c>
      <c r="AE657" s="79" t="str">
        <f>IF(AD657="","",IF(COUNTIF($AD$2:$AD$1000,AD657)&gt;1,"DUPLICADO NO TG",IF(COUNTIF('Bolsas e auxílios'!$J$5:$J$1000,AD657)=0,"FORA DO CONTROLE","LOCALIZADO")))</f>
        <v/>
      </c>
    </row>
    <row r="658" ht="15.75" customHeight="1"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9" t="str">
        <f t="shared" si="1"/>
        <v/>
      </c>
      <c r="AE658" s="79" t="str">
        <f>IF(AD658="","",IF(COUNTIF($AD$2:$AD$1000,AD658)&gt;1,"DUPLICADO NO TG",IF(COUNTIF('Bolsas e auxílios'!$J$5:$J$1000,AD658)=0,"FORA DO CONTROLE","LOCALIZADO")))</f>
        <v/>
      </c>
    </row>
    <row r="659" ht="15.75" customHeight="1"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9" t="str">
        <f t="shared" si="1"/>
        <v/>
      </c>
      <c r="AE659" s="79" t="str">
        <f>IF(AD659="","",IF(COUNTIF($AD$2:$AD$1000,AD659)&gt;1,"DUPLICADO NO TG",IF(COUNTIF('Bolsas e auxílios'!$J$5:$J$1000,AD659)=0,"FORA DO CONTROLE","LOCALIZADO")))</f>
        <v/>
      </c>
    </row>
    <row r="660" ht="15.75" customHeight="1"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9" t="str">
        <f t="shared" si="1"/>
        <v/>
      </c>
      <c r="AE660" s="79" t="str">
        <f>IF(AD660="","",IF(COUNTIF($AD$2:$AD$1000,AD660)&gt;1,"DUPLICADO NO TG",IF(COUNTIF('Bolsas e auxílios'!$J$5:$J$1000,AD660)=0,"FORA DO CONTROLE","LOCALIZADO")))</f>
        <v/>
      </c>
    </row>
    <row r="661" ht="15.75" customHeight="1"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9" t="str">
        <f t="shared" si="1"/>
        <v/>
      </c>
      <c r="AE661" s="79" t="str">
        <f>IF(AD661="","",IF(COUNTIF($AD$2:$AD$1000,AD661)&gt;1,"DUPLICADO NO TG",IF(COUNTIF('Bolsas e auxílios'!$J$5:$J$1000,AD661)=0,"FORA DO CONTROLE","LOCALIZADO")))</f>
        <v/>
      </c>
    </row>
    <row r="662" ht="15.75" customHeight="1"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9" t="str">
        <f t="shared" si="1"/>
        <v/>
      </c>
      <c r="AE662" s="79" t="str">
        <f>IF(AD662="","",IF(COUNTIF($AD$2:$AD$1000,AD662)&gt;1,"DUPLICADO NO TG",IF(COUNTIF('Bolsas e auxílios'!$J$5:$J$1000,AD662)=0,"FORA DO CONTROLE","LOCALIZADO")))</f>
        <v/>
      </c>
    </row>
    <row r="663" ht="15.75" customHeight="1"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9" t="str">
        <f t="shared" si="1"/>
        <v/>
      </c>
      <c r="AE663" s="79" t="str">
        <f>IF(AD663="","",IF(COUNTIF($AD$2:$AD$1000,AD663)&gt;1,"DUPLICADO NO TG",IF(COUNTIF('Bolsas e auxílios'!$J$5:$J$1000,AD663)=0,"FORA DO CONTROLE","LOCALIZADO")))</f>
        <v/>
      </c>
    </row>
    <row r="664" ht="15.75" customHeight="1"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9" t="str">
        <f t="shared" si="1"/>
        <v/>
      </c>
      <c r="AE664" s="79" t="str">
        <f>IF(AD664="","",IF(COUNTIF($AD$2:$AD$1000,AD664)&gt;1,"DUPLICADO NO TG",IF(COUNTIF('Bolsas e auxílios'!$J$5:$J$1000,AD664)=0,"FORA DO CONTROLE","LOCALIZADO")))</f>
        <v/>
      </c>
    </row>
    <row r="665" ht="15.75" customHeight="1"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9" t="str">
        <f t="shared" si="1"/>
        <v/>
      </c>
      <c r="AE665" s="79" t="str">
        <f>IF(AD665="","",IF(COUNTIF($AD$2:$AD$1000,AD665)&gt;1,"DUPLICADO NO TG",IF(COUNTIF('Bolsas e auxílios'!$J$5:$J$1000,AD665)=0,"FORA DO CONTROLE","LOCALIZADO")))</f>
        <v/>
      </c>
    </row>
    <row r="666" ht="15.75" customHeight="1"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9" t="str">
        <f t="shared" si="1"/>
        <v/>
      </c>
      <c r="AE666" s="79" t="str">
        <f>IF(AD666="","",IF(COUNTIF($AD$2:$AD$1000,AD666)&gt;1,"DUPLICADO NO TG",IF(COUNTIF('Bolsas e auxílios'!$J$5:$J$1000,AD666)=0,"FORA DO CONTROLE","LOCALIZADO")))</f>
        <v/>
      </c>
    </row>
    <row r="667" ht="15.75" customHeight="1"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9" t="str">
        <f t="shared" si="1"/>
        <v/>
      </c>
      <c r="AE667" s="79" t="str">
        <f>IF(AD667="","",IF(COUNTIF($AD$2:$AD$1000,AD667)&gt;1,"DUPLICADO NO TG",IF(COUNTIF('Bolsas e auxílios'!$J$5:$J$1000,AD667)=0,"FORA DO CONTROLE","LOCALIZADO")))</f>
        <v/>
      </c>
    </row>
    <row r="668" ht="15.75" customHeight="1"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9" t="str">
        <f t="shared" si="1"/>
        <v/>
      </c>
      <c r="AE668" s="79" t="str">
        <f>IF(AD668="","",IF(COUNTIF($AD$2:$AD$1000,AD668)&gt;1,"DUPLICADO NO TG",IF(COUNTIF('Bolsas e auxílios'!$J$5:$J$1000,AD668)=0,"FORA DO CONTROLE","LOCALIZADO")))</f>
        <v/>
      </c>
    </row>
    <row r="669" ht="15.75" customHeight="1"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9" t="str">
        <f t="shared" si="1"/>
        <v/>
      </c>
      <c r="AE669" s="79" t="str">
        <f>IF(AD669="","",IF(COUNTIF($AD$2:$AD$1000,AD669)&gt;1,"DUPLICADO NO TG",IF(COUNTIF('Bolsas e auxílios'!$J$5:$J$1000,AD669)=0,"FORA DO CONTROLE","LOCALIZADO")))</f>
        <v/>
      </c>
    </row>
    <row r="670" ht="15.75" customHeight="1"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9" t="str">
        <f t="shared" si="1"/>
        <v/>
      </c>
      <c r="AE670" s="79" t="str">
        <f>IF(AD670="","",IF(COUNTIF($AD$2:$AD$1000,AD670)&gt;1,"DUPLICADO NO TG",IF(COUNTIF('Bolsas e auxílios'!$J$5:$J$1000,AD670)=0,"FORA DO CONTROLE","LOCALIZADO")))</f>
        <v/>
      </c>
    </row>
    <row r="671" ht="15.75" customHeight="1"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9" t="str">
        <f t="shared" si="1"/>
        <v/>
      </c>
      <c r="AE671" s="79" t="str">
        <f>IF(AD671="","",IF(COUNTIF($AD$2:$AD$1000,AD671)&gt;1,"DUPLICADO NO TG",IF(COUNTIF('Bolsas e auxílios'!$J$5:$J$1000,AD671)=0,"FORA DO CONTROLE","LOCALIZADO")))</f>
        <v/>
      </c>
    </row>
    <row r="672" ht="15.75" customHeight="1"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9" t="str">
        <f t="shared" si="1"/>
        <v/>
      </c>
      <c r="AE672" s="79" t="str">
        <f>IF(AD672="","",IF(COUNTIF($AD$2:$AD$1000,AD672)&gt;1,"DUPLICADO NO TG",IF(COUNTIF('Bolsas e auxílios'!$J$5:$J$1000,AD672)=0,"FORA DO CONTROLE","LOCALIZADO")))</f>
        <v/>
      </c>
    </row>
    <row r="673" ht="15.75" customHeight="1"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9" t="str">
        <f t="shared" si="1"/>
        <v/>
      </c>
      <c r="AE673" s="79" t="str">
        <f>IF(AD673="","",IF(COUNTIF($AD$2:$AD$1000,AD673)&gt;1,"DUPLICADO NO TG",IF(COUNTIF('Bolsas e auxílios'!$J$5:$J$1000,AD673)=0,"FORA DO CONTROLE","LOCALIZADO")))</f>
        <v/>
      </c>
    </row>
    <row r="674" ht="15.75" customHeight="1"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9" t="str">
        <f t="shared" si="1"/>
        <v/>
      </c>
      <c r="AE674" s="79" t="str">
        <f>IF(AD674="","",IF(COUNTIF($AD$2:$AD$1000,AD674)&gt;1,"DUPLICADO NO TG",IF(COUNTIF('Bolsas e auxílios'!$J$5:$J$1000,AD674)=0,"FORA DO CONTROLE","LOCALIZADO")))</f>
        <v/>
      </c>
    </row>
    <row r="675" ht="15.75" customHeight="1"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9" t="str">
        <f t="shared" si="1"/>
        <v/>
      </c>
      <c r="AE675" s="79" t="str">
        <f>IF(AD675="","",IF(COUNTIF($AD$2:$AD$1000,AD675)&gt;1,"DUPLICADO NO TG",IF(COUNTIF('Bolsas e auxílios'!$J$5:$J$1000,AD675)=0,"FORA DO CONTROLE","LOCALIZADO")))</f>
        <v/>
      </c>
    </row>
    <row r="676" ht="15.75" customHeight="1"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9" t="str">
        <f t="shared" si="1"/>
        <v/>
      </c>
      <c r="AE676" s="79" t="str">
        <f>IF(AD676="","",IF(COUNTIF($AD$2:$AD$1000,AD676)&gt;1,"DUPLICADO NO TG",IF(COUNTIF('Bolsas e auxílios'!$J$5:$J$1000,AD676)=0,"FORA DO CONTROLE","LOCALIZADO")))</f>
        <v/>
      </c>
    </row>
    <row r="677" ht="15.75" customHeight="1"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9" t="str">
        <f t="shared" si="1"/>
        <v/>
      </c>
      <c r="AE677" s="79" t="str">
        <f>IF(AD677="","",IF(COUNTIF($AD$2:$AD$1000,AD677)&gt;1,"DUPLICADO NO TG",IF(COUNTIF('Bolsas e auxílios'!$J$5:$J$1000,AD677)=0,"FORA DO CONTROLE","LOCALIZADO")))</f>
        <v/>
      </c>
    </row>
    <row r="678" ht="15.75" customHeight="1"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9" t="str">
        <f t="shared" si="1"/>
        <v/>
      </c>
      <c r="AE678" s="79" t="str">
        <f>IF(AD678="","",IF(COUNTIF($AD$2:$AD$1000,AD678)&gt;1,"DUPLICADO NO TG",IF(COUNTIF('Bolsas e auxílios'!$J$5:$J$1000,AD678)=0,"FORA DO CONTROLE","LOCALIZADO")))</f>
        <v/>
      </c>
    </row>
    <row r="679" ht="15.75" customHeight="1"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9" t="str">
        <f t="shared" si="1"/>
        <v/>
      </c>
      <c r="AE679" s="79" t="str">
        <f>IF(AD679="","",IF(COUNTIF($AD$2:$AD$1000,AD679)&gt;1,"DUPLICADO NO TG",IF(COUNTIF('Bolsas e auxílios'!$J$5:$J$1000,AD679)=0,"FORA DO CONTROLE","LOCALIZADO")))</f>
        <v/>
      </c>
    </row>
    <row r="680" ht="15.75" customHeight="1"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9" t="str">
        <f t="shared" si="1"/>
        <v/>
      </c>
      <c r="AE680" s="79" t="str">
        <f>IF(AD680="","",IF(COUNTIF($AD$2:$AD$1000,AD680)&gt;1,"DUPLICADO NO TG",IF(COUNTIF('Bolsas e auxílios'!$J$5:$J$1000,AD680)=0,"FORA DO CONTROLE","LOCALIZADO")))</f>
        <v/>
      </c>
    </row>
    <row r="681" ht="15.75" customHeight="1"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9" t="str">
        <f t="shared" si="1"/>
        <v/>
      </c>
      <c r="AE681" s="79" t="str">
        <f>IF(AD681="","",IF(COUNTIF($AD$2:$AD$1000,AD681)&gt;1,"DUPLICADO NO TG",IF(COUNTIF('Bolsas e auxílios'!$J$5:$J$1000,AD681)=0,"FORA DO CONTROLE","LOCALIZADO")))</f>
        <v/>
      </c>
    </row>
    <row r="682" ht="15.75" customHeight="1"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9" t="str">
        <f t="shared" si="1"/>
        <v/>
      </c>
      <c r="AE682" s="79" t="str">
        <f>IF(AD682="","",IF(COUNTIF($AD$2:$AD$1000,AD682)&gt;1,"DUPLICADO NO TG",IF(COUNTIF('Bolsas e auxílios'!$J$5:$J$1000,AD682)=0,"FORA DO CONTROLE","LOCALIZADO")))</f>
        <v/>
      </c>
    </row>
    <row r="683" ht="15.75" customHeight="1"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9" t="str">
        <f t="shared" si="1"/>
        <v/>
      </c>
      <c r="AE683" s="79" t="str">
        <f>IF(AD683="","",IF(COUNTIF($AD$2:$AD$1000,AD683)&gt;1,"DUPLICADO NO TG",IF(COUNTIF('Bolsas e auxílios'!$J$5:$J$1000,AD683)=0,"FORA DO CONTROLE","LOCALIZADO")))</f>
        <v/>
      </c>
    </row>
    <row r="684" ht="15.75" customHeight="1"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9" t="str">
        <f t="shared" si="1"/>
        <v/>
      </c>
      <c r="AE684" s="79" t="str">
        <f>IF(AD684="","",IF(COUNTIF($AD$2:$AD$1000,AD684)&gt;1,"DUPLICADO NO TG",IF(COUNTIF('Bolsas e auxílios'!$J$5:$J$1000,AD684)=0,"FORA DO CONTROLE","LOCALIZADO")))</f>
        <v/>
      </c>
    </row>
    <row r="685" ht="15.75" customHeight="1"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9" t="str">
        <f t="shared" si="1"/>
        <v/>
      </c>
      <c r="AE685" s="79" t="str">
        <f>IF(AD685="","",IF(COUNTIF($AD$2:$AD$1000,AD685)&gt;1,"DUPLICADO NO TG",IF(COUNTIF('Bolsas e auxílios'!$J$5:$J$1000,AD685)=0,"FORA DO CONTROLE","LOCALIZADO")))</f>
        <v/>
      </c>
    </row>
    <row r="686" ht="15.75" customHeight="1"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9" t="str">
        <f t="shared" si="1"/>
        <v/>
      </c>
      <c r="AE686" s="79" t="str">
        <f>IF(AD686="","",IF(COUNTIF($AD$2:$AD$1000,AD686)&gt;1,"DUPLICADO NO TG",IF(COUNTIF('Bolsas e auxílios'!$J$5:$J$1000,AD686)=0,"FORA DO CONTROLE","LOCALIZADO")))</f>
        <v/>
      </c>
    </row>
    <row r="687" ht="15.75" customHeight="1"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9" t="str">
        <f t="shared" si="1"/>
        <v/>
      </c>
      <c r="AE687" s="79" t="str">
        <f>IF(AD687="","",IF(COUNTIF($AD$2:$AD$1000,AD687)&gt;1,"DUPLICADO NO TG",IF(COUNTIF('Bolsas e auxílios'!$J$5:$J$1000,AD687)=0,"FORA DO CONTROLE","LOCALIZADO")))</f>
        <v/>
      </c>
    </row>
    <row r="688" ht="15.75" customHeight="1"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9" t="str">
        <f t="shared" si="1"/>
        <v/>
      </c>
      <c r="AE688" s="79" t="str">
        <f>IF(AD688="","",IF(COUNTIF($AD$2:$AD$1000,AD688)&gt;1,"DUPLICADO NO TG",IF(COUNTIF('Bolsas e auxílios'!$J$5:$J$1000,AD688)=0,"FORA DO CONTROLE","LOCALIZADO")))</f>
        <v/>
      </c>
    </row>
    <row r="689" ht="15.75" customHeight="1"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9" t="str">
        <f t="shared" si="1"/>
        <v/>
      </c>
      <c r="AE689" s="79" t="str">
        <f>IF(AD689="","",IF(COUNTIF($AD$2:$AD$1000,AD689)&gt;1,"DUPLICADO NO TG",IF(COUNTIF('Bolsas e auxílios'!$J$5:$J$1000,AD689)=0,"FORA DO CONTROLE","LOCALIZADO")))</f>
        <v/>
      </c>
    </row>
    <row r="690" ht="15.75" customHeight="1"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9" t="str">
        <f t="shared" si="1"/>
        <v/>
      </c>
      <c r="AE690" s="79" t="str">
        <f>IF(AD690="","",IF(COUNTIF($AD$2:$AD$1000,AD690)&gt;1,"DUPLICADO NO TG",IF(COUNTIF('Bolsas e auxílios'!$J$5:$J$1000,AD690)=0,"FORA DO CONTROLE","LOCALIZADO")))</f>
        <v/>
      </c>
    </row>
    <row r="691" ht="15.75" customHeight="1"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9" t="str">
        <f t="shared" si="1"/>
        <v/>
      </c>
      <c r="AE691" s="79" t="str">
        <f>IF(AD691="","",IF(COUNTIF($AD$2:$AD$1000,AD691)&gt;1,"DUPLICADO NO TG",IF(COUNTIF('Bolsas e auxílios'!$J$5:$J$1000,AD691)=0,"FORA DO CONTROLE","LOCALIZADO")))</f>
        <v/>
      </c>
    </row>
    <row r="692" ht="15.75" customHeight="1"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9" t="str">
        <f t="shared" si="1"/>
        <v/>
      </c>
      <c r="AE692" s="79" t="str">
        <f>IF(AD692="","",IF(COUNTIF($AD$2:$AD$1000,AD692)&gt;1,"DUPLICADO NO TG",IF(COUNTIF('Bolsas e auxílios'!$J$5:$J$1000,AD692)=0,"FORA DO CONTROLE","LOCALIZADO")))</f>
        <v/>
      </c>
    </row>
    <row r="693" ht="15.75" customHeight="1"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9" t="str">
        <f t="shared" si="1"/>
        <v/>
      </c>
      <c r="AE693" s="79" t="str">
        <f>IF(AD693="","",IF(COUNTIF($AD$2:$AD$1000,AD693)&gt;1,"DUPLICADO NO TG",IF(COUNTIF('Bolsas e auxílios'!$J$5:$J$1000,AD693)=0,"FORA DO CONTROLE","LOCALIZADO")))</f>
        <v/>
      </c>
    </row>
    <row r="694" ht="15.75" customHeight="1"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9" t="str">
        <f t="shared" si="1"/>
        <v/>
      </c>
      <c r="AE694" s="79" t="str">
        <f>IF(AD694="","",IF(COUNTIF($AD$2:$AD$1000,AD694)&gt;1,"DUPLICADO NO TG",IF(COUNTIF('Bolsas e auxílios'!$J$5:$J$1000,AD694)=0,"FORA DO CONTROLE","LOCALIZADO")))</f>
        <v/>
      </c>
    </row>
    <row r="695" ht="15.75" customHeight="1"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9" t="str">
        <f t="shared" si="1"/>
        <v/>
      </c>
      <c r="AE695" s="79" t="str">
        <f>IF(AD695="","",IF(COUNTIF($AD$2:$AD$1000,AD695)&gt;1,"DUPLICADO NO TG",IF(COUNTIF('Bolsas e auxílios'!$J$5:$J$1000,AD695)=0,"FORA DO CONTROLE","LOCALIZADO")))</f>
        <v/>
      </c>
    </row>
    <row r="696" ht="15.75" customHeight="1"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9" t="str">
        <f t="shared" si="1"/>
        <v/>
      </c>
      <c r="AE696" s="79" t="str">
        <f>IF(AD696="","",IF(COUNTIF($AD$2:$AD$1000,AD696)&gt;1,"DUPLICADO NO TG",IF(COUNTIF('Bolsas e auxílios'!$J$5:$J$1000,AD696)=0,"FORA DO CONTROLE","LOCALIZADO")))</f>
        <v/>
      </c>
    </row>
    <row r="697" ht="15.75" customHeight="1"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9" t="str">
        <f t="shared" si="1"/>
        <v/>
      </c>
      <c r="AE697" s="79" t="str">
        <f>IF(AD697="","",IF(COUNTIF($AD$2:$AD$1000,AD697)&gt;1,"DUPLICADO NO TG",IF(COUNTIF('Bolsas e auxílios'!$J$5:$J$1000,AD697)=0,"FORA DO CONTROLE","LOCALIZADO")))</f>
        <v/>
      </c>
    </row>
    <row r="698" ht="15.75" customHeight="1"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9" t="str">
        <f t="shared" si="1"/>
        <v/>
      </c>
      <c r="AE698" s="79" t="str">
        <f>IF(AD698="","",IF(COUNTIF($AD$2:$AD$1000,AD698)&gt;1,"DUPLICADO NO TG",IF(COUNTIF('Bolsas e auxílios'!$J$5:$J$1000,AD698)=0,"FORA DO CONTROLE","LOCALIZADO")))</f>
        <v/>
      </c>
    </row>
    <row r="699" ht="15.75" customHeight="1"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9" t="str">
        <f t="shared" si="1"/>
        <v/>
      </c>
      <c r="AE699" s="79" t="str">
        <f>IF(AD699="","",IF(COUNTIF($AD$2:$AD$1000,AD699)&gt;1,"DUPLICADO NO TG",IF(COUNTIF('Bolsas e auxílios'!$J$5:$J$1000,AD699)=0,"FORA DO CONTROLE","LOCALIZADO")))</f>
        <v/>
      </c>
    </row>
    <row r="700" ht="15.75" customHeight="1"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9" t="str">
        <f t="shared" si="1"/>
        <v/>
      </c>
      <c r="AE700" s="79" t="str">
        <f>IF(AD700="","",IF(COUNTIF($AD$2:$AD$1000,AD700)&gt;1,"DUPLICADO NO TG",IF(COUNTIF('Bolsas e auxílios'!$J$5:$J$1000,AD700)=0,"FORA DO CONTROLE","LOCALIZADO")))</f>
        <v/>
      </c>
    </row>
    <row r="701" ht="15.75" customHeight="1"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9" t="str">
        <f t="shared" si="1"/>
        <v/>
      </c>
      <c r="AE701" s="79" t="str">
        <f>IF(AD701="","",IF(COUNTIF($AD$2:$AD$1000,AD701)&gt;1,"DUPLICADO NO TG",IF(COUNTIF('Bolsas e auxílios'!$J$5:$J$1000,AD701)=0,"FORA DO CONTROLE","LOCALIZADO")))</f>
        <v/>
      </c>
    </row>
    <row r="702" ht="15.75" customHeight="1"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9" t="str">
        <f t="shared" si="1"/>
        <v/>
      </c>
      <c r="AE702" s="79" t="str">
        <f>IF(AD702="","",IF(COUNTIF($AD$2:$AD$1000,AD702)&gt;1,"DUPLICADO NO TG",IF(COUNTIF('Bolsas e auxílios'!$J$5:$J$1000,AD702)=0,"FORA DO CONTROLE","LOCALIZADO")))</f>
        <v/>
      </c>
    </row>
    <row r="703" ht="15.75" customHeight="1"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9" t="str">
        <f t="shared" si="1"/>
        <v/>
      </c>
      <c r="AE703" s="79" t="str">
        <f>IF(AD703="","",IF(COUNTIF($AD$2:$AD$1000,AD703)&gt;1,"DUPLICADO NO TG",IF(COUNTIF('Bolsas e auxílios'!$J$5:$J$1000,AD703)=0,"FORA DO CONTROLE","LOCALIZADO")))</f>
        <v/>
      </c>
    </row>
    <row r="704" ht="15.75" customHeight="1"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9" t="str">
        <f t="shared" si="1"/>
        <v/>
      </c>
      <c r="AE704" s="79" t="str">
        <f>IF(AD704="","",IF(COUNTIF($AD$2:$AD$1000,AD704)&gt;1,"DUPLICADO NO TG",IF(COUNTIF('Bolsas e auxílios'!$J$5:$J$1000,AD704)=0,"FORA DO CONTROLE","LOCALIZADO")))</f>
        <v/>
      </c>
    </row>
    <row r="705" ht="15.75" customHeight="1"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9" t="str">
        <f t="shared" si="1"/>
        <v/>
      </c>
      <c r="AE705" s="79" t="str">
        <f>IF(AD705="","",IF(COUNTIF($AD$2:$AD$1000,AD705)&gt;1,"DUPLICADO NO TG",IF(COUNTIF('Bolsas e auxílios'!$J$5:$J$1000,AD705)=0,"FORA DO CONTROLE","LOCALIZADO")))</f>
        <v/>
      </c>
    </row>
    <row r="706" ht="15.75" customHeight="1"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9" t="str">
        <f t="shared" si="1"/>
        <v/>
      </c>
      <c r="AE706" s="79" t="str">
        <f>IF(AD706="","",IF(COUNTIF($AD$2:$AD$1000,AD706)&gt;1,"DUPLICADO NO TG",IF(COUNTIF('Bolsas e auxílios'!$J$5:$J$1000,AD706)=0,"FORA DO CONTROLE","LOCALIZADO")))</f>
        <v/>
      </c>
    </row>
    <row r="707" ht="15.75" customHeight="1"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9" t="str">
        <f t="shared" si="1"/>
        <v/>
      </c>
      <c r="AE707" s="79" t="str">
        <f>IF(AD707="","",IF(COUNTIF($AD$2:$AD$1000,AD707)&gt;1,"DUPLICADO NO TG",IF(COUNTIF('Bolsas e auxílios'!$J$5:$J$1000,AD707)=0,"FORA DO CONTROLE","LOCALIZADO")))</f>
        <v/>
      </c>
    </row>
    <row r="708" ht="15.75" customHeight="1"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9" t="str">
        <f t="shared" si="1"/>
        <v/>
      </c>
      <c r="AE708" s="79" t="str">
        <f>IF(AD708="","",IF(COUNTIF($AD$2:$AD$1000,AD708)&gt;1,"DUPLICADO NO TG",IF(COUNTIF('Bolsas e auxílios'!$J$5:$J$1000,AD708)=0,"FORA DO CONTROLE","LOCALIZADO")))</f>
        <v/>
      </c>
    </row>
    <row r="709" ht="15.75" customHeight="1"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9" t="str">
        <f t="shared" si="1"/>
        <v/>
      </c>
      <c r="AE709" s="79" t="str">
        <f>IF(AD709="","",IF(COUNTIF($AD$2:$AD$1000,AD709)&gt;1,"DUPLICADO NO TG",IF(COUNTIF('Bolsas e auxílios'!$J$5:$J$1000,AD709)=0,"FORA DO CONTROLE","LOCALIZADO")))</f>
        <v/>
      </c>
    </row>
    <row r="710" ht="15.75" customHeight="1"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9" t="str">
        <f t="shared" si="1"/>
        <v/>
      </c>
      <c r="AE710" s="79" t="str">
        <f>IF(AD710="","",IF(COUNTIF($AD$2:$AD$1000,AD710)&gt;1,"DUPLICADO NO TG",IF(COUNTIF('Bolsas e auxílios'!$J$5:$J$1000,AD710)=0,"FORA DO CONTROLE","LOCALIZADO")))</f>
        <v/>
      </c>
    </row>
    <row r="711" ht="15.75" customHeight="1"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9" t="str">
        <f t="shared" si="1"/>
        <v/>
      </c>
      <c r="AE711" s="79" t="str">
        <f>IF(AD711="","",IF(COUNTIF($AD$2:$AD$1000,AD711)&gt;1,"DUPLICADO NO TG",IF(COUNTIF('Bolsas e auxílios'!$J$5:$J$1000,AD711)=0,"FORA DO CONTROLE","LOCALIZADO")))</f>
        <v/>
      </c>
    </row>
    <row r="712" ht="15.75" customHeight="1"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9" t="str">
        <f t="shared" si="1"/>
        <v/>
      </c>
      <c r="AE712" s="79" t="str">
        <f>IF(AD712="","",IF(COUNTIF($AD$2:$AD$1000,AD712)&gt;1,"DUPLICADO NO TG",IF(COUNTIF('Bolsas e auxílios'!$J$5:$J$1000,AD712)=0,"FORA DO CONTROLE","LOCALIZADO")))</f>
        <v/>
      </c>
    </row>
    <row r="713" ht="15.75" customHeight="1"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9" t="str">
        <f t="shared" si="1"/>
        <v/>
      </c>
      <c r="AE713" s="79" t="str">
        <f>IF(AD713="","",IF(COUNTIF($AD$2:$AD$1000,AD713)&gt;1,"DUPLICADO NO TG",IF(COUNTIF('Bolsas e auxílios'!$J$5:$J$1000,AD713)=0,"FORA DO CONTROLE","LOCALIZADO")))</f>
        <v/>
      </c>
    </row>
    <row r="714" ht="15.75" customHeight="1"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9" t="str">
        <f t="shared" si="1"/>
        <v/>
      </c>
      <c r="AE714" s="79" t="str">
        <f>IF(AD714="","",IF(COUNTIF($AD$2:$AD$1000,AD714)&gt;1,"DUPLICADO NO TG",IF(COUNTIF('Bolsas e auxílios'!$J$5:$J$1000,AD714)=0,"FORA DO CONTROLE","LOCALIZADO")))</f>
        <v/>
      </c>
    </row>
    <row r="715" ht="15.75" customHeight="1"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9" t="str">
        <f t="shared" si="1"/>
        <v/>
      </c>
      <c r="AE715" s="79" t="str">
        <f>IF(AD715="","",IF(COUNTIF($AD$2:$AD$1000,AD715)&gt;1,"DUPLICADO NO TG",IF(COUNTIF('Bolsas e auxílios'!$J$5:$J$1000,AD715)=0,"FORA DO CONTROLE","LOCALIZADO")))</f>
        <v/>
      </c>
    </row>
    <row r="716" ht="15.75" customHeight="1"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9" t="str">
        <f t="shared" si="1"/>
        <v/>
      </c>
      <c r="AE716" s="79" t="str">
        <f>IF(AD716="","",IF(COUNTIF($AD$2:$AD$1000,AD716)&gt;1,"DUPLICADO NO TG",IF(COUNTIF('Bolsas e auxílios'!$J$5:$J$1000,AD716)=0,"FORA DO CONTROLE","LOCALIZADO")))</f>
        <v/>
      </c>
    </row>
    <row r="717" ht="15.75" customHeight="1"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9" t="str">
        <f t="shared" si="1"/>
        <v/>
      </c>
      <c r="AE717" s="79" t="str">
        <f>IF(AD717="","",IF(COUNTIF($AD$2:$AD$1000,AD717)&gt;1,"DUPLICADO NO TG",IF(COUNTIF('Bolsas e auxílios'!$J$5:$J$1000,AD717)=0,"FORA DO CONTROLE","LOCALIZADO")))</f>
        <v/>
      </c>
    </row>
    <row r="718" ht="15.75" customHeight="1"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9" t="str">
        <f t="shared" si="1"/>
        <v/>
      </c>
      <c r="AE718" s="79" t="str">
        <f>IF(AD718="","",IF(COUNTIF($AD$2:$AD$1000,AD718)&gt;1,"DUPLICADO NO TG",IF(COUNTIF('Bolsas e auxílios'!$J$5:$J$1000,AD718)=0,"FORA DO CONTROLE","LOCALIZADO")))</f>
        <v/>
      </c>
    </row>
    <row r="719" ht="15.75" customHeight="1"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9" t="str">
        <f t="shared" si="1"/>
        <v/>
      </c>
      <c r="AE719" s="79" t="str">
        <f>IF(AD719="","",IF(COUNTIF($AD$2:$AD$1000,AD719)&gt;1,"DUPLICADO NO TG",IF(COUNTIF('Bolsas e auxílios'!$J$5:$J$1000,AD719)=0,"FORA DO CONTROLE","LOCALIZADO")))</f>
        <v/>
      </c>
    </row>
    <row r="720" ht="15.75" customHeight="1"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9" t="str">
        <f t="shared" si="1"/>
        <v/>
      </c>
      <c r="AE720" s="79" t="str">
        <f>IF(AD720="","",IF(COUNTIF($AD$2:$AD$1000,AD720)&gt;1,"DUPLICADO NO TG",IF(COUNTIF('Bolsas e auxílios'!$J$5:$J$1000,AD720)=0,"FORA DO CONTROLE","LOCALIZADO")))</f>
        <v/>
      </c>
    </row>
    <row r="721" ht="15.75" customHeight="1"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9" t="str">
        <f t="shared" si="1"/>
        <v/>
      </c>
      <c r="AE721" s="79" t="str">
        <f>IF(AD721="","",IF(COUNTIF($AD$2:$AD$1000,AD721)&gt;1,"DUPLICADO NO TG",IF(COUNTIF('Bolsas e auxílios'!$J$5:$J$1000,AD721)=0,"FORA DO CONTROLE","LOCALIZADO")))</f>
        <v/>
      </c>
    </row>
    <row r="722" ht="15.75" customHeight="1"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9" t="str">
        <f t="shared" si="1"/>
        <v/>
      </c>
      <c r="AE722" s="79" t="str">
        <f>IF(AD722="","",IF(COUNTIF($AD$2:$AD$1000,AD722)&gt;1,"DUPLICADO NO TG",IF(COUNTIF('Bolsas e auxílios'!$J$5:$J$1000,AD722)=0,"FORA DO CONTROLE","LOCALIZADO")))</f>
        <v/>
      </c>
    </row>
    <row r="723" ht="15.75" customHeight="1"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9" t="str">
        <f t="shared" si="1"/>
        <v/>
      </c>
      <c r="AE723" s="79" t="str">
        <f>IF(AD723="","",IF(COUNTIF($AD$2:$AD$1000,AD723)&gt;1,"DUPLICADO NO TG",IF(COUNTIF('Bolsas e auxílios'!$J$5:$J$1000,AD723)=0,"FORA DO CONTROLE","LOCALIZADO")))</f>
        <v/>
      </c>
    </row>
    <row r="724" ht="15.75" customHeight="1"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9" t="str">
        <f t="shared" si="1"/>
        <v/>
      </c>
      <c r="AE724" s="79" t="str">
        <f>IF(AD724="","",IF(COUNTIF($AD$2:$AD$1000,AD724)&gt;1,"DUPLICADO NO TG",IF(COUNTIF('Bolsas e auxílios'!$J$5:$J$1000,AD724)=0,"FORA DO CONTROLE","LOCALIZADO")))</f>
        <v/>
      </c>
    </row>
    <row r="725" ht="15.75" customHeight="1"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9" t="str">
        <f t="shared" si="1"/>
        <v/>
      </c>
      <c r="AE725" s="79" t="str">
        <f>IF(AD725="","",IF(COUNTIF($AD$2:$AD$1000,AD725)&gt;1,"DUPLICADO NO TG",IF(COUNTIF('Bolsas e auxílios'!$J$5:$J$1000,AD725)=0,"FORA DO CONTROLE","LOCALIZADO")))</f>
        <v/>
      </c>
    </row>
    <row r="726" ht="15.75" customHeight="1"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9" t="str">
        <f t="shared" si="1"/>
        <v/>
      </c>
      <c r="AE726" s="79" t="str">
        <f>IF(AD726="","",IF(COUNTIF($AD$2:$AD$1000,AD726)&gt;1,"DUPLICADO NO TG",IF(COUNTIF('Bolsas e auxílios'!$J$5:$J$1000,AD726)=0,"FORA DO CONTROLE","LOCALIZADO")))</f>
        <v/>
      </c>
    </row>
    <row r="727" ht="15.75" customHeight="1"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9" t="str">
        <f t="shared" si="1"/>
        <v/>
      </c>
      <c r="AE727" s="79" t="str">
        <f>IF(AD727="","",IF(COUNTIF($AD$2:$AD$1000,AD727)&gt;1,"DUPLICADO NO TG",IF(COUNTIF('Bolsas e auxílios'!$J$5:$J$1000,AD727)=0,"FORA DO CONTROLE","LOCALIZADO")))</f>
        <v/>
      </c>
    </row>
    <row r="728" ht="15.75" customHeight="1"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9" t="str">
        <f t="shared" si="1"/>
        <v/>
      </c>
      <c r="AE728" s="79" t="str">
        <f>IF(AD728="","",IF(COUNTIF($AD$2:$AD$1000,AD728)&gt;1,"DUPLICADO NO TG",IF(COUNTIF('Bolsas e auxílios'!$J$5:$J$1000,AD728)=0,"FORA DO CONTROLE","LOCALIZADO")))</f>
        <v/>
      </c>
    </row>
    <row r="729" ht="15.75" customHeight="1"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9" t="str">
        <f t="shared" si="1"/>
        <v/>
      </c>
      <c r="AE729" s="79" t="str">
        <f>IF(AD729="","",IF(COUNTIF($AD$2:$AD$1000,AD729)&gt;1,"DUPLICADO NO TG",IF(COUNTIF('Bolsas e auxílios'!$J$5:$J$1000,AD729)=0,"FORA DO CONTROLE","LOCALIZADO")))</f>
        <v/>
      </c>
    </row>
    <row r="730" ht="15.75" customHeight="1"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9" t="str">
        <f t="shared" si="1"/>
        <v/>
      </c>
      <c r="AE730" s="79" t="str">
        <f>IF(AD730="","",IF(COUNTIF($AD$2:$AD$1000,AD730)&gt;1,"DUPLICADO NO TG",IF(COUNTIF('Bolsas e auxílios'!$J$5:$J$1000,AD730)=0,"FORA DO CONTROLE","LOCALIZADO")))</f>
        <v/>
      </c>
    </row>
    <row r="731" ht="15.75" customHeight="1"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9" t="str">
        <f t="shared" si="1"/>
        <v/>
      </c>
      <c r="AE731" s="79" t="str">
        <f>IF(AD731="","",IF(COUNTIF($AD$2:$AD$1000,AD731)&gt;1,"DUPLICADO NO TG",IF(COUNTIF('Bolsas e auxílios'!$J$5:$J$1000,AD731)=0,"FORA DO CONTROLE","LOCALIZADO")))</f>
        <v/>
      </c>
    </row>
    <row r="732" ht="15.75" customHeight="1"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9" t="str">
        <f t="shared" si="1"/>
        <v/>
      </c>
      <c r="AE732" s="79" t="str">
        <f>IF(AD732="","",IF(COUNTIF($AD$2:$AD$1000,AD732)&gt;1,"DUPLICADO NO TG",IF(COUNTIF('Bolsas e auxílios'!$J$5:$J$1000,AD732)=0,"FORA DO CONTROLE","LOCALIZADO")))</f>
        <v/>
      </c>
    </row>
    <row r="733" ht="15.75" customHeight="1"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9" t="str">
        <f t="shared" si="1"/>
        <v/>
      </c>
      <c r="AE733" s="79" t="str">
        <f>IF(AD733="","",IF(COUNTIF($AD$2:$AD$1000,AD733)&gt;1,"DUPLICADO NO TG",IF(COUNTIF('Bolsas e auxílios'!$J$5:$J$1000,AD733)=0,"FORA DO CONTROLE","LOCALIZADO")))</f>
        <v/>
      </c>
    </row>
    <row r="734" ht="15.75" customHeight="1"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9" t="str">
        <f t="shared" si="1"/>
        <v/>
      </c>
      <c r="AE734" s="79" t="str">
        <f>IF(AD734="","",IF(COUNTIF($AD$2:$AD$1000,AD734)&gt;1,"DUPLICADO NO TG",IF(COUNTIF('Bolsas e auxílios'!$J$5:$J$1000,AD734)=0,"FORA DO CONTROLE","LOCALIZADO")))</f>
        <v/>
      </c>
    </row>
    <row r="735" ht="15.75" customHeight="1"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9" t="str">
        <f t="shared" si="1"/>
        <v/>
      </c>
      <c r="AE735" s="79" t="str">
        <f>IF(AD735="","",IF(COUNTIF($AD$2:$AD$1000,AD735)&gt;1,"DUPLICADO NO TG",IF(COUNTIF('Bolsas e auxílios'!$J$5:$J$1000,AD735)=0,"FORA DO CONTROLE","LOCALIZADO")))</f>
        <v/>
      </c>
    </row>
    <row r="736" ht="15.75" customHeight="1"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9" t="str">
        <f t="shared" si="1"/>
        <v/>
      </c>
      <c r="AE736" s="79" t="str">
        <f>IF(AD736="","",IF(COUNTIF($AD$2:$AD$1000,AD736)&gt;1,"DUPLICADO NO TG",IF(COUNTIF('Bolsas e auxílios'!$J$5:$J$1000,AD736)=0,"FORA DO CONTROLE","LOCALIZADO")))</f>
        <v/>
      </c>
    </row>
    <row r="737" ht="15.75" customHeight="1"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9" t="str">
        <f t="shared" si="1"/>
        <v/>
      </c>
      <c r="AE737" s="79" t="str">
        <f>IF(AD737="","",IF(COUNTIF($AD$2:$AD$1000,AD737)&gt;1,"DUPLICADO NO TG",IF(COUNTIF('Bolsas e auxílios'!$J$5:$J$1000,AD737)=0,"FORA DO CONTROLE","LOCALIZADO")))</f>
        <v/>
      </c>
    </row>
    <row r="738" ht="15.75" customHeight="1"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9" t="str">
        <f t="shared" si="1"/>
        <v/>
      </c>
      <c r="AE738" s="79" t="str">
        <f>IF(AD738="","",IF(COUNTIF($AD$2:$AD$1000,AD738)&gt;1,"DUPLICADO NO TG",IF(COUNTIF('Bolsas e auxílios'!$J$5:$J$1000,AD738)=0,"FORA DO CONTROLE","LOCALIZADO")))</f>
        <v/>
      </c>
    </row>
    <row r="739" ht="15.75" customHeight="1"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9" t="str">
        <f t="shared" si="1"/>
        <v/>
      </c>
      <c r="AE739" s="79" t="str">
        <f>IF(AD739="","",IF(COUNTIF($AD$2:$AD$1000,AD739)&gt;1,"DUPLICADO NO TG",IF(COUNTIF('Bolsas e auxílios'!$J$5:$J$1000,AD739)=0,"FORA DO CONTROLE","LOCALIZADO")))</f>
        <v/>
      </c>
    </row>
    <row r="740" ht="15.75" customHeight="1"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9" t="str">
        <f t="shared" si="1"/>
        <v/>
      </c>
      <c r="AE740" s="79" t="str">
        <f>IF(AD740="","",IF(COUNTIF($AD$2:$AD$1000,AD740)&gt;1,"DUPLICADO NO TG",IF(COUNTIF('Bolsas e auxílios'!$J$5:$J$1000,AD740)=0,"FORA DO CONTROLE","LOCALIZADO")))</f>
        <v/>
      </c>
    </row>
    <row r="741" ht="15.75" customHeight="1"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9" t="str">
        <f t="shared" si="1"/>
        <v/>
      </c>
      <c r="AE741" s="79" t="str">
        <f>IF(AD741="","",IF(COUNTIF($AD$2:$AD$1000,AD741)&gt;1,"DUPLICADO NO TG",IF(COUNTIF('Bolsas e auxílios'!$J$5:$J$1000,AD741)=0,"FORA DO CONTROLE","LOCALIZADO")))</f>
        <v/>
      </c>
    </row>
    <row r="742" ht="15.75" customHeight="1"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9" t="str">
        <f t="shared" si="1"/>
        <v/>
      </c>
      <c r="AE742" s="79" t="str">
        <f>IF(AD742="","",IF(COUNTIF($AD$2:$AD$1000,AD742)&gt;1,"DUPLICADO NO TG",IF(COUNTIF('Bolsas e auxílios'!$J$5:$J$1000,AD742)=0,"FORA DO CONTROLE","LOCALIZADO")))</f>
        <v/>
      </c>
    </row>
    <row r="743" ht="15.75" customHeight="1"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9" t="str">
        <f t="shared" si="1"/>
        <v/>
      </c>
      <c r="AE743" s="79" t="str">
        <f>IF(AD743="","",IF(COUNTIF($AD$2:$AD$1000,AD743)&gt;1,"DUPLICADO NO TG",IF(COUNTIF('Bolsas e auxílios'!$J$5:$J$1000,AD743)=0,"FORA DO CONTROLE","LOCALIZADO")))</f>
        <v/>
      </c>
    </row>
    <row r="744" ht="15.75" customHeight="1"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9" t="str">
        <f t="shared" si="1"/>
        <v/>
      </c>
      <c r="AE744" s="79" t="str">
        <f>IF(AD744="","",IF(COUNTIF($AD$2:$AD$1000,AD744)&gt;1,"DUPLICADO NO TG",IF(COUNTIF('Bolsas e auxílios'!$J$5:$J$1000,AD744)=0,"FORA DO CONTROLE","LOCALIZADO")))</f>
        <v/>
      </c>
    </row>
    <row r="745" ht="15.75" customHeight="1"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9" t="str">
        <f t="shared" si="1"/>
        <v/>
      </c>
      <c r="AE745" s="79" t="str">
        <f>IF(AD745="","",IF(COUNTIF($AD$2:$AD$1000,AD745)&gt;1,"DUPLICADO NO TG",IF(COUNTIF('Bolsas e auxílios'!$J$5:$J$1000,AD745)=0,"FORA DO CONTROLE","LOCALIZADO")))</f>
        <v/>
      </c>
    </row>
    <row r="746" ht="15.75" customHeight="1"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9" t="str">
        <f t="shared" si="1"/>
        <v/>
      </c>
      <c r="AE746" s="79" t="str">
        <f>IF(AD746="","",IF(COUNTIF($AD$2:$AD$1000,AD746)&gt;1,"DUPLICADO NO TG",IF(COUNTIF('Bolsas e auxílios'!$J$5:$J$1000,AD746)=0,"FORA DO CONTROLE","LOCALIZADO")))</f>
        <v/>
      </c>
    </row>
    <row r="747" ht="15.75" customHeight="1"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9" t="str">
        <f t="shared" si="1"/>
        <v/>
      </c>
      <c r="AE747" s="79" t="str">
        <f>IF(AD747="","",IF(COUNTIF($AD$2:$AD$1000,AD747)&gt;1,"DUPLICADO NO TG",IF(COUNTIF('Bolsas e auxílios'!$J$5:$J$1000,AD747)=0,"FORA DO CONTROLE","LOCALIZADO")))</f>
        <v/>
      </c>
    </row>
    <row r="748" ht="15.75" customHeight="1"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9" t="str">
        <f t="shared" si="1"/>
        <v/>
      </c>
      <c r="AE748" s="79" t="str">
        <f>IF(AD748="","",IF(COUNTIF($AD$2:$AD$1000,AD748)&gt;1,"DUPLICADO NO TG",IF(COUNTIF('Bolsas e auxílios'!$J$5:$J$1000,AD748)=0,"FORA DO CONTROLE","LOCALIZADO")))</f>
        <v/>
      </c>
    </row>
    <row r="749" ht="15.75" customHeight="1"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9" t="str">
        <f t="shared" si="1"/>
        <v/>
      </c>
      <c r="AE749" s="79" t="str">
        <f>IF(AD749="","",IF(COUNTIF($AD$2:$AD$1000,AD749)&gt;1,"DUPLICADO NO TG",IF(COUNTIF('Bolsas e auxílios'!$J$5:$J$1000,AD749)=0,"FORA DO CONTROLE","LOCALIZADO")))</f>
        <v/>
      </c>
    </row>
    <row r="750" ht="15.75" customHeight="1"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9" t="str">
        <f t="shared" si="1"/>
        <v/>
      </c>
      <c r="AE750" s="79" t="str">
        <f>IF(AD750="","",IF(COUNTIF($AD$2:$AD$1000,AD750)&gt;1,"DUPLICADO NO TG",IF(COUNTIF('Bolsas e auxílios'!$J$5:$J$1000,AD750)=0,"FORA DO CONTROLE","LOCALIZADO")))</f>
        <v/>
      </c>
    </row>
    <row r="751" ht="15.75" customHeight="1"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9" t="str">
        <f t="shared" si="1"/>
        <v/>
      </c>
      <c r="AE751" s="79" t="str">
        <f>IF(AD751="","",IF(COUNTIF($AD$2:$AD$1000,AD751)&gt;1,"DUPLICADO NO TG",IF(COUNTIF('Bolsas e auxílios'!$J$5:$J$1000,AD751)=0,"FORA DO CONTROLE","LOCALIZADO")))</f>
        <v/>
      </c>
    </row>
    <row r="752" ht="15.75" customHeight="1"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9" t="str">
        <f t="shared" si="1"/>
        <v/>
      </c>
      <c r="AE752" s="79" t="str">
        <f>IF(AD752="","",IF(COUNTIF($AD$2:$AD$1000,AD752)&gt;1,"DUPLICADO NO TG",IF(COUNTIF('Bolsas e auxílios'!$J$5:$J$1000,AD752)=0,"FORA DO CONTROLE","LOCALIZADO")))</f>
        <v/>
      </c>
    </row>
    <row r="753" ht="15.75" customHeight="1"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9" t="str">
        <f t="shared" si="1"/>
        <v/>
      </c>
      <c r="AE753" s="79" t="str">
        <f>IF(AD753="","",IF(COUNTIF($AD$2:$AD$1000,AD753)&gt;1,"DUPLICADO NO TG",IF(COUNTIF('Bolsas e auxílios'!$J$5:$J$1000,AD753)=0,"FORA DO CONTROLE","LOCALIZADO")))</f>
        <v/>
      </c>
    </row>
    <row r="754" ht="15.75" customHeight="1"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9" t="str">
        <f t="shared" si="1"/>
        <v/>
      </c>
      <c r="AE754" s="79" t="str">
        <f>IF(AD754="","",IF(COUNTIF($AD$2:$AD$1000,AD754)&gt;1,"DUPLICADO NO TG",IF(COUNTIF('Bolsas e auxílios'!$J$5:$J$1000,AD754)=0,"FORA DO CONTROLE","LOCALIZADO")))</f>
        <v/>
      </c>
    </row>
    <row r="755" ht="15.75" customHeight="1"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9" t="str">
        <f t="shared" si="1"/>
        <v/>
      </c>
      <c r="AE755" s="79" t="str">
        <f>IF(AD755="","",IF(COUNTIF($AD$2:$AD$1000,AD755)&gt;1,"DUPLICADO NO TG",IF(COUNTIF('Bolsas e auxílios'!$J$5:$J$1000,AD755)=0,"FORA DO CONTROLE","LOCALIZADO")))</f>
        <v/>
      </c>
    </row>
    <row r="756" ht="15.75" customHeight="1"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9" t="str">
        <f t="shared" si="1"/>
        <v/>
      </c>
      <c r="AE756" s="79" t="str">
        <f>IF(AD756="","",IF(COUNTIF($AD$2:$AD$1000,AD756)&gt;1,"DUPLICADO NO TG",IF(COUNTIF('Bolsas e auxílios'!$J$5:$J$1000,AD756)=0,"FORA DO CONTROLE","LOCALIZADO")))</f>
        <v/>
      </c>
    </row>
    <row r="757" ht="15.75" customHeight="1"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9" t="str">
        <f t="shared" si="1"/>
        <v/>
      </c>
      <c r="AE757" s="79" t="str">
        <f>IF(AD757="","",IF(COUNTIF($AD$2:$AD$1000,AD757)&gt;1,"DUPLICADO NO TG",IF(COUNTIF('Bolsas e auxílios'!$J$5:$J$1000,AD757)=0,"FORA DO CONTROLE","LOCALIZADO")))</f>
        <v/>
      </c>
    </row>
    <row r="758" ht="15.75" customHeight="1"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9" t="str">
        <f t="shared" si="1"/>
        <v/>
      </c>
      <c r="AE758" s="79" t="str">
        <f>IF(AD758="","",IF(COUNTIF($AD$2:$AD$1000,AD758)&gt;1,"DUPLICADO NO TG",IF(COUNTIF('Bolsas e auxílios'!$J$5:$J$1000,AD758)=0,"FORA DO CONTROLE","LOCALIZADO")))</f>
        <v/>
      </c>
    </row>
    <row r="759" ht="15.75" customHeight="1"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9" t="str">
        <f t="shared" si="1"/>
        <v/>
      </c>
      <c r="AE759" s="79" t="str">
        <f>IF(AD759="","",IF(COUNTIF($AD$2:$AD$1000,AD759)&gt;1,"DUPLICADO NO TG",IF(COUNTIF('Bolsas e auxílios'!$J$5:$J$1000,AD759)=0,"FORA DO CONTROLE","LOCALIZADO")))</f>
        <v/>
      </c>
    </row>
    <row r="760" ht="15.75" customHeight="1"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9" t="str">
        <f t="shared" si="1"/>
        <v/>
      </c>
      <c r="AE760" s="79" t="str">
        <f>IF(AD760="","",IF(COUNTIF($AD$2:$AD$1000,AD760)&gt;1,"DUPLICADO NO TG",IF(COUNTIF('Bolsas e auxílios'!$J$5:$J$1000,AD760)=0,"FORA DO CONTROLE","LOCALIZADO")))</f>
        <v/>
      </c>
    </row>
    <row r="761" ht="15.75" customHeight="1"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9" t="str">
        <f t="shared" si="1"/>
        <v/>
      </c>
      <c r="AE761" s="79" t="str">
        <f>IF(AD761="","",IF(COUNTIF($AD$2:$AD$1000,AD761)&gt;1,"DUPLICADO NO TG",IF(COUNTIF('Bolsas e auxílios'!$J$5:$J$1000,AD761)=0,"FORA DO CONTROLE","LOCALIZADO")))</f>
        <v/>
      </c>
    </row>
    <row r="762" ht="15.75" customHeight="1"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9" t="str">
        <f t="shared" si="1"/>
        <v/>
      </c>
      <c r="AE762" s="79" t="str">
        <f>IF(AD762="","",IF(COUNTIF($AD$2:$AD$1000,AD762)&gt;1,"DUPLICADO NO TG",IF(COUNTIF('Bolsas e auxílios'!$J$5:$J$1000,AD762)=0,"FORA DO CONTROLE","LOCALIZADO")))</f>
        <v/>
      </c>
    </row>
    <row r="763" ht="15.75" customHeight="1"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9" t="str">
        <f t="shared" si="1"/>
        <v/>
      </c>
      <c r="AE763" s="79" t="str">
        <f>IF(AD763="","",IF(COUNTIF($AD$2:$AD$1000,AD763)&gt;1,"DUPLICADO NO TG",IF(COUNTIF('Bolsas e auxílios'!$J$5:$J$1000,AD763)=0,"FORA DO CONTROLE","LOCALIZADO")))</f>
        <v/>
      </c>
    </row>
    <row r="764" ht="15.75" customHeight="1"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9" t="str">
        <f t="shared" si="1"/>
        <v/>
      </c>
      <c r="AE764" s="79" t="str">
        <f>IF(AD764="","",IF(COUNTIF($AD$2:$AD$1000,AD764)&gt;1,"DUPLICADO NO TG",IF(COUNTIF('Bolsas e auxílios'!$J$5:$J$1000,AD764)=0,"FORA DO CONTROLE","LOCALIZADO")))</f>
        <v/>
      </c>
    </row>
    <row r="765" ht="15.75" customHeight="1"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9" t="str">
        <f t="shared" si="1"/>
        <v/>
      </c>
      <c r="AE765" s="79" t="str">
        <f>IF(AD765="","",IF(COUNTIF($AD$2:$AD$1000,AD765)&gt;1,"DUPLICADO NO TG",IF(COUNTIF('Bolsas e auxílios'!$J$5:$J$1000,AD765)=0,"FORA DO CONTROLE","LOCALIZADO")))</f>
        <v/>
      </c>
    </row>
    <row r="766" ht="15.75" customHeight="1"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9" t="str">
        <f t="shared" si="1"/>
        <v/>
      </c>
      <c r="AE766" s="79" t="str">
        <f>IF(AD766="","",IF(COUNTIF($AD$2:$AD$1000,AD766)&gt;1,"DUPLICADO NO TG",IF(COUNTIF('Bolsas e auxílios'!$J$5:$J$1000,AD766)=0,"FORA DO CONTROLE","LOCALIZADO")))</f>
        <v/>
      </c>
    </row>
    <row r="767" ht="15.75" customHeight="1"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9" t="str">
        <f t="shared" si="1"/>
        <v/>
      </c>
      <c r="AE767" s="79" t="str">
        <f>IF(AD767="","",IF(COUNTIF($AD$2:$AD$1000,AD767)&gt;1,"DUPLICADO NO TG",IF(COUNTIF('Bolsas e auxílios'!$J$5:$J$1000,AD767)=0,"FORA DO CONTROLE","LOCALIZADO")))</f>
        <v/>
      </c>
    </row>
    <row r="768" ht="15.75" customHeight="1"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9" t="str">
        <f t="shared" si="1"/>
        <v/>
      </c>
      <c r="AE768" s="79" t="str">
        <f>IF(AD768="","",IF(COUNTIF($AD$2:$AD$1000,AD768)&gt;1,"DUPLICADO NO TG",IF(COUNTIF('Bolsas e auxílios'!$J$5:$J$1000,AD768)=0,"FORA DO CONTROLE","LOCALIZADO")))</f>
        <v/>
      </c>
    </row>
    <row r="769" ht="15.75" customHeight="1"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9" t="str">
        <f t="shared" si="1"/>
        <v/>
      </c>
      <c r="AE769" s="79" t="str">
        <f>IF(AD769="","",IF(COUNTIF($AD$2:$AD$1000,AD769)&gt;1,"DUPLICADO NO TG",IF(COUNTIF('Bolsas e auxílios'!$J$5:$J$1000,AD769)=0,"FORA DO CONTROLE","LOCALIZADO")))</f>
        <v/>
      </c>
    </row>
    <row r="770" ht="15.75" customHeight="1"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9" t="str">
        <f t="shared" si="1"/>
        <v/>
      </c>
      <c r="AE770" s="79" t="str">
        <f>IF(AD770="","",IF(COUNTIF($AD$2:$AD$1000,AD770)&gt;1,"DUPLICADO NO TG",IF(COUNTIF('Bolsas e auxílios'!$J$5:$J$1000,AD770)=0,"FORA DO CONTROLE","LOCALIZADO")))</f>
        <v/>
      </c>
    </row>
    <row r="771" ht="15.75" customHeight="1"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9" t="str">
        <f t="shared" si="1"/>
        <v/>
      </c>
      <c r="AE771" s="79" t="str">
        <f>IF(AD771="","",IF(COUNTIF($AD$2:$AD$1000,AD771)&gt;1,"DUPLICADO NO TG",IF(COUNTIF('Bolsas e auxílios'!$J$5:$J$1000,AD771)=0,"FORA DO CONTROLE","LOCALIZADO")))</f>
        <v/>
      </c>
    </row>
    <row r="772" ht="15.75" customHeight="1"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9" t="str">
        <f t="shared" si="1"/>
        <v/>
      </c>
      <c r="AE772" s="79" t="str">
        <f>IF(AD772="","",IF(COUNTIF($AD$2:$AD$1000,AD772)&gt;1,"DUPLICADO NO TG",IF(COUNTIF('Bolsas e auxílios'!$J$5:$J$1000,AD772)=0,"FORA DO CONTROLE","LOCALIZADO")))</f>
        <v/>
      </c>
    </row>
    <row r="773" ht="15.75" customHeight="1"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9" t="str">
        <f t="shared" si="1"/>
        <v/>
      </c>
      <c r="AE773" s="79" t="str">
        <f>IF(AD773="","",IF(COUNTIF($AD$2:$AD$1000,AD773)&gt;1,"DUPLICADO NO TG",IF(COUNTIF('Bolsas e auxílios'!$J$5:$J$1000,AD773)=0,"FORA DO CONTROLE","LOCALIZADO")))</f>
        <v/>
      </c>
    </row>
    <row r="774" ht="15.75" customHeight="1"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9" t="str">
        <f t="shared" si="1"/>
        <v/>
      </c>
      <c r="AE774" s="79" t="str">
        <f>IF(AD774="","",IF(COUNTIF($AD$2:$AD$1000,AD774)&gt;1,"DUPLICADO NO TG",IF(COUNTIF('Bolsas e auxílios'!$J$5:$J$1000,AD774)=0,"FORA DO CONTROLE","LOCALIZADO")))</f>
        <v/>
      </c>
    </row>
    <row r="775" ht="15.75" customHeight="1"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9" t="str">
        <f t="shared" si="1"/>
        <v/>
      </c>
      <c r="AE775" s="79" t="str">
        <f>IF(AD775="","",IF(COUNTIF($AD$2:$AD$1000,AD775)&gt;1,"DUPLICADO NO TG",IF(COUNTIF('Bolsas e auxílios'!$J$5:$J$1000,AD775)=0,"FORA DO CONTROLE","LOCALIZADO")))</f>
        <v/>
      </c>
    </row>
    <row r="776" ht="15.75" customHeight="1"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9" t="str">
        <f t="shared" si="1"/>
        <v/>
      </c>
      <c r="AE776" s="79" t="str">
        <f>IF(AD776="","",IF(COUNTIF($AD$2:$AD$1000,AD776)&gt;1,"DUPLICADO NO TG",IF(COUNTIF('Bolsas e auxílios'!$J$5:$J$1000,AD776)=0,"FORA DO CONTROLE","LOCALIZADO")))</f>
        <v/>
      </c>
    </row>
    <row r="777" ht="15.75" customHeight="1"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9" t="str">
        <f t="shared" si="1"/>
        <v/>
      </c>
      <c r="AE777" s="79" t="str">
        <f>IF(AD777="","",IF(COUNTIF($AD$2:$AD$1000,AD777)&gt;1,"DUPLICADO NO TG",IF(COUNTIF('Bolsas e auxílios'!$J$5:$J$1000,AD777)=0,"FORA DO CONTROLE","LOCALIZADO")))</f>
        <v/>
      </c>
    </row>
    <row r="778" ht="15.75" customHeight="1"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9" t="str">
        <f t="shared" si="1"/>
        <v/>
      </c>
      <c r="AE778" s="79" t="str">
        <f>IF(AD778="","",IF(COUNTIF($AD$2:$AD$1000,AD778)&gt;1,"DUPLICADO NO TG",IF(COUNTIF('Bolsas e auxílios'!$J$5:$J$1000,AD778)=0,"FORA DO CONTROLE","LOCALIZADO")))</f>
        <v/>
      </c>
    </row>
    <row r="779" ht="15.75" customHeight="1"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9" t="str">
        <f t="shared" si="1"/>
        <v/>
      </c>
      <c r="AE779" s="79" t="str">
        <f>IF(AD779="","",IF(COUNTIF($AD$2:$AD$1000,AD779)&gt;1,"DUPLICADO NO TG",IF(COUNTIF('Bolsas e auxílios'!$J$5:$J$1000,AD779)=0,"FORA DO CONTROLE","LOCALIZADO")))</f>
        <v/>
      </c>
    </row>
    <row r="780" ht="15.75" customHeight="1"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9" t="str">
        <f t="shared" si="1"/>
        <v/>
      </c>
      <c r="AE780" s="79" t="str">
        <f>IF(AD780="","",IF(COUNTIF($AD$2:$AD$1000,AD780)&gt;1,"DUPLICADO NO TG",IF(COUNTIF('Bolsas e auxílios'!$J$5:$J$1000,AD780)=0,"FORA DO CONTROLE","LOCALIZADO")))</f>
        <v/>
      </c>
    </row>
    <row r="781" ht="15.75" customHeight="1"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9" t="str">
        <f t="shared" si="1"/>
        <v/>
      </c>
      <c r="AE781" s="79" t="str">
        <f>IF(AD781="","",IF(COUNTIF($AD$2:$AD$1000,AD781)&gt;1,"DUPLICADO NO TG",IF(COUNTIF('Bolsas e auxílios'!$J$5:$J$1000,AD781)=0,"FORA DO CONTROLE","LOCALIZADO")))</f>
        <v/>
      </c>
    </row>
    <row r="782" ht="15.75" customHeight="1"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9" t="str">
        <f t="shared" si="1"/>
        <v/>
      </c>
      <c r="AE782" s="79" t="str">
        <f>IF(AD782="","",IF(COUNTIF($AD$2:$AD$1000,AD782)&gt;1,"DUPLICADO NO TG",IF(COUNTIF('Bolsas e auxílios'!$J$5:$J$1000,AD782)=0,"FORA DO CONTROLE","LOCALIZADO")))</f>
        <v/>
      </c>
    </row>
    <row r="783" ht="15.75" customHeight="1"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9" t="str">
        <f t="shared" si="1"/>
        <v/>
      </c>
      <c r="AE783" s="79" t="str">
        <f>IF(AD783="","",IF(COUNTIF($AD$2:$AD$1000,AD783)&gt;1,"DUPLICADO NO TG",IF(COUNTIF('Bolsas e auxílios'!$J$5:$J$1000,AD783)=0,"FORA DO CONTROLE","LOCALIZADO")))</f>
        <v/>
      </c>
    </row>
    <row r="784" ht="15.75" customHeight="1"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9" t="str">
        <f t="shared" si="1"/>
        <v/>
      </c>
      <c r="AE784" s="79" t="str">
        <f>IF(AD784="","",IF(COUNTIF($AD$2:$AD$1000,AD784)&gt;1,"DUPLICADO NO TG",IF(COUNTIF('Bolsas e auxílios'!$J$5:$J$1000,AD784)=0,"FORA DO CONTROLE","LOCALIZADO")))</f>
        <v/>
      </c>
    </row>
    <row r="785" ht="15.75" customHeight="1"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9" t="str">
        <f t="shared" si="1"/>
        <v/>
      </c>
      <c r="AE785" s="79" t="str">
        <f>IF(AD785="","",IF(COUNTIF($AD$2:$AD$1000,AD785)&gt;1,"DUPLICADO NO TG",IF(COUNTIF('Bolsas e auxílios'!$J$5:$J$1000,AD785)=0,"FORA DO CONTROLE","LOCALIZADO")))</f>
        <v/>
      </c>
    </row>
    <row r="786" ht="15.75" customHeight="1"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9" t="str">
        <f t="shared" si="1"/>
        <v/>
      </c>
      <c r="AE786" s="79" t="str">
        <f>IF(AD786="","",IF(COUNTIF($AD$2:$AD$1000,AD786)&gt;1,"DUPLICADO NO TG",IF(COUNTIF('Bolsas e auxílios'!$J$5:$J$1000,AD786)=0,"FORA DO CONTROLE","LOCALIZADO")))</f>
        <v/>
      </c>
    </row>
    <row r="787" ht="15.75" customHeight="1"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9" t="str">
        <f t="shared" si="1"/>
        <v/>
      </c>
      <c r="AE787" s="79" t="str">
        <f>IF(AD787="","",IF(COUNTIF($AD$2:$AD$1000,AD787)&gt;1,"DUPLICADO NO TG",IF(COUNTIF('Bolsas e auxílios'!$J$5:$J$1000,AD787)=0,"FORA DO CONTROLE","LOCALIZADO")))</f>
        <v/>
      </c>
    </row>
    <row r="788" ht="15.75" customHeight="1"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9" t="str">
        <f t="shared" si="1"/>
        <v/>
      </c>
      <c r="AE788" s="79" t="str">
        <f>IF(AD788="","",IF(COUNTIF($AD$2:$AD$1000,AD788)&gt;1,"DUPLICADO NO TG",IF(COUNTIF('Bolsas e auxílios'!$J$5:$J$1000,AD788)=0,"FORA DO CONTROLE","LOCALIZADO")))</f>
        <v/>
      </c>
    </row>
    <row r="789" ht="15.75" customHeight="1"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9" t="str">
        <f t="shared" si="1"/>
        <v/>
      </c>
      <c r="AE789" s="79" t="str">
        <f>IF(AD789="","",IF(COUNTIF($AD$2:$AD$1000,AD789)&gt;1,"DUPLICADO NO TG",IF(COUNTIF('Bolsas e auxílios'!$J$5:$J$1000,AD789)=0,"FORA DO CONTROLE","LOCALIZADO")))</f>
        <v/>
      </c>
    </row>
    <row r="790" ht="15.75" customHeight="1"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9" t="str">
        <f t="shared" si="1"/>
        <v/>
      </c>
      <c r="AE790" s="79" t="str">
        <f>IF(AD790="","",IF(COUNTIF($AD$2:$AD$1000,AD790)&gt;1,"DUPLICADO NO TG",IF(COUNTIF('Bolsas e auxílios'!$J$5:$J$1000,AD790)=0,"FORA DO CONTROLE","LOCALIZADO")))</f>
        <v/>
      </c>
    </row>
    <row r="791" ht="15.75" customHeight="1"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9" t="str">
        <f t="shared" si="1"/>
        <v/>
      </c>
      <c r="AE791" s="79" t="str">
        <f>IF(AD791="","",IF(COUNTIF($AD$2:$AD$1000,AD791)&gt;1,"DUPLICADO NO TG",IF(COUNTIF('Bolsas e auxílios'!$J$5:$J$1000,AD791)=0,"FORA DO CONTROLE","LOCALIZADO")))</f>
        <v/>
      </c>
    </row>
    <row r="792" ht="15.75" customHeight="1"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9" t="str">
        <f t="shared" si="1"/>
        <v/>
      </c>
      <c r="AE792" s="79" t="str">
        <f>IF(AD792="","",IF(COUNTIF($AD$2:$AD$1000,AD792)&gt;1,"DUPLICADO NO TG",IF(COUNTIF('Bolsas e auxílios'!$J$5:$J$1000,AD792)=0,"FORA DO CONTROLE","LOCALIZADO")))</f>
        <v/>
      </c>
    </row>
    <row r="793" ht="15.75" customHeight="1"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9" t="str">
        <f t="shared" si="1"/>
        <v/>
      </c>
      <c r="AE793" s="79" t="str">
        <f>IF(AD793="","",IF(COUNTIF($AD$2:$AD$1000,AD793)&gt;1,"DUPLICADO NO TG",IF(COUNTIF('Bolsas e auxílios'!$J$5:$J$1000,AD793)=0,"FORA DO CONTROLE","LOCALIZADO")))</f>
        <v/>
      </c>
    </row>
    <row r="794" ht="15.75" customHeight="1"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9" t="str">
        <f t="shared" si="1"/>
        <v/>
      </c>
      <c r="AE794" s="79" t="str">
        <f>IF(AD794="","",IF(COUNTIF($AD$2:$AD$1000,AD794)&gt;1,"DUPLICADO NO TG",IF(COUNTIF('Bolsas e auxílios'!$J$5:$J$1000,AD794)=0,"FORA DO CONTROLE","LOCALIZADO")))</f>
        <v/>
      </c>
    </row>
    <row r="795" ht="15.75" customHeight="1"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9" t="str">
        <f t="shared" si="1"/>
        <v/>
      </c>
      <c r="AE795" s="79" t="str">
        <f>IF(AD795="","",IF(COUNTIF($AD$2:$AD$1000,AD795)&gt;1,"DUPLICADO NO TG",IF(COUNTIF('Bolsas e auxílios'!$J$5:$J$1000,AD795)=0,"FORA DO CONTROLE","LOCALIZADO")))</f>
        <v/>
      </c>
    </row>
    <row r="796" ht="15.75" customHeight="1"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9" t="str">
        <f t="shared" si="1"/>
        <v/>
      </c>
      <c r="AE796" s="79" t="str">
        <f>IF(AD796="","",IF(COUNTIF($AD$2:$AD$1000,AD796)&gt;1,"DUPLICADO NO TG",IF(COUNTIF('Bolsas e auxílios'!$J$5:$J$1000,AD796)=0,"FORA DO CONTROLE","LOCALIZADO")))</f>
        <v/>
      </c>
    </row>
    <row r="797" ht="15.75" customHeight="1"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9" t="str">
        <f t="shared" si="1"/>
        <v/>
      </c>
      <c r="AE797" s="79" t="str">
        <f>IF(AD797="","",IF(COUNTIF($AD$2:$AD$1000,AD797)&gt;1,"DUPLICADO NO TG",IF(COUNTIF('Bolsas e auxílios'!$J$5:$J$1000,AD797)=0,"FORA DO CONTROLE","LOCALIZADO")))</f>
        <v/>
      </c>
    </row>
    <row r="798" ht="15.75" customHeight="1"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9" t="str">
        <f t="shared" si="1"/>
        <v/>
      </c>
      <c r="AE798" s="79" t="str">
        <f>IF(AD798="","",IF(COUNTIF($AD$2:$AD$1000,AD798)&gt;1,"DUPLICADO NO TG",IF(COUNTIF('Bolsas e auxílios'!$J$5:$J$1000,AD798)=0,"FORA DO CONTROLE","LOCALIZADO")))</f>
        <v/>
      </c>
    </row>
    <row r="799" ht="15.75" customHeight="1"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9" t="str">
        <f t="shared" si="1"/>
        <v/>
      </c>
      <c r="AE799" s="79" t="str">
        <f>IF(AD799="","",IF(COUNTIF($AD$2:$AD$1000,AD799)&gt;1,"DUPLICADO NO TG",IF(COUNTIF('Bolsas e auxílios'!$J$5:$J$1000,AD799)=0,"FORA DO CONTROLE","LOCALIZADO")))</f>
        <v/>
      </c>
    </row>
    <row r="800" ht="15.75" customHeight="1"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9" t="str">
        <f t="shared" si="1"/>
        <v/>
      </c>
      <c r="AE800" s="79" t="str">
        <f>IF(AD800="","",IF(COUNTIF($AD$2:$AD$1000,AD800)&gt;1,"DUPLICADO NO TG",IF(COUNTIF('Bolsas e auxílios'!$J$5:$J$1000,AD800)=0,"FORA DO CONTROLE","LOCALIZADO")))</f>
        <v/>
      </c>
    </row>
    <row r="801" ht="15.75" customHeight="1"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9" t="str">
        <f t="shared" si="1"/>
        <v/>
      </c>
      <c r="AE801" s="79" t="str">
        <f>IF(AD801="","",IF(COUNTIF($AD$2:$AD$1000,AD801)&gt;1,"DUPLICADO NO TG",IF(COUNTIF('Bolsas e auxílios'!$J$5:$J$1000,AD801)=0,"FORA DO CONTROLE","LOCALIZADO")))</f>
        <v/>
      </c>
    </row>
    <row r="802" ht="15.75" customHeight="1"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9" t="str">
        <f t="shared" si="1"/>
        <v/>
      </c>
      <c r="AE802" s="79" t="str">
        <f>IF(AD802="","",IF(COUNTIF($AD$2:$AD$1000,AD802)&gt;1,"DUPLICADO NO TG",IF(COUNTIF('Bolsas e auxílios'!$J$5:$J$1000,AD802)=0,"FORA DO CONTROLE","LOCALIZADO")))</f>
        <v/>
      </c>
    </row>
    <row r="803" ht="15.75" customHeight="1"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9" t="str">
        <f t="shared" si="1"/>
        <v/>
      </c>
      <c r="AE803" s="79" t="str">
        <f>IF(AD803="","",IF(COUNTIF($AD$2:$AD$1000,AD803)&gt;1,"DUPLICADO NO TG",IF(COUNTIF('Bolsas e auxílios'!$J$5:$J$1000,AD803)=0,"FORA DO CONTROLE","LOCALIZADO")))</f>
        <v/>
      </c>
    </row>
    <row r="804" ht="15.75" customHeight="1"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9" t="str">
        <f t="shared" si="1"/>
        <v/>
      </c>
      <c r="AE804" s="79" t="str">
        <f>IF(AD804="","",IF(COUNTIF($AD$2:$AD$1000,AD804)&gt;1,"DUPLICADO NO TG",IF(COUNTIF('Bolsas e auxílios'!$J$5:$J$1000,AD804)=0,"FORA DO CONTROLE","LOCALIZADO")))</f>
        <v/>
      </c>
    </row>
    <row r="805" ht="15.75" customHeight="1"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9" t="str">
        <f t="shared" si="1"/>
        <v/>
      </c>
      <c r="AE805" s="79" t="str">
        <f>IF(AD805="","",IF(COUNTIF($AD$2:$AD$1000,AD805)&gt;1,"DUPLICADO NO TG",IF(COUNTIF('Bolsas e auxílios'!$J$5:$J$1000,AD805)=0,"FORA DO CONTROLE","LOCALIZADO")))</f>
        <v/>
      </c>
    </row>
    <row r="806" ht="15.75" customHeight="1"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9" t="str">
        <f t="shared" si="1"/>
        <v/>
      </c>
      <c r="AE806" s="79" t="str">
        <f>IF(AD806="","",IF(COUNTIF($AD$2:$AD$1000,AD806)&gt;1,"DUPLICADO NO TG",IF(COUNTIF('Bolsas e auxílios'!$J$5:$J$1000,AD806)=0,"FORA DO CONTROLE","LOCALIZADO")))</f>
        <v/>
      </c>
    </row>
    <row r="807" ht="15.75" customHeight="1"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9" t="str">
        <f t="shared" si="1"/>
        <v/>
      </c>
      <c r="AE807" s="79" t="str">
        <f>IF(AD807="","",IF(COUNTIF($AD$2:$AD$1000,AD807)&gt;1,"DUPLICADO NO TG",IF(COUNTIF('Bolsas e auxílios'!$J$5:$J$1000,AD807)=0,"FORA DO CONTROLE","LOCALIZADO")))</f>
        <v/>
      </c>
    </row>
    <row r="808" ht="15.75" customHeight="1"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9" t="str">
        <f t="shared" si="1"/>
        <v/>
      </c>
      <c r="AE808" s="79" t="str">
        <f>IF(AD808="","",IF(COUNTIF($AD$2:$AD$1000,AD808)&gt;1,"DUPLICADO NO TG",IF(COUNTIF('Bolsas e auxílios'!$J$5:$J$1000,AD808)=0,"FORA DO CONTROLE","LOCALIZADO")))</f>
        <v/>
      </c>
    </row>
    <row r="809" ht="15.75" customHeight="1"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9" t="str">
        <f t="shared" si="1"/>
        <v/>
      </c>
      <c r="AE809" s="79" t="str">
        <f>IF(AD809="","",IF(COUNTIF($AD$2:$AD$1000,AD809)&gt;1,"DUPLICADO NO TG",IF(COUNTIF('Bolsas e auxílios'!$J$5:$J$1000,AD809)=0,"FORA DO CONTROLE","LOCALIZADO")))</f>
        <v/>
      </c>
    </row>
    <row r="810" ht="15.75" customHeight="1"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9" t="str">
        <f t="shared" si="1"/>
        <v/>
      </c>
      <c r="AE810" s="79" t="str">
        <f>IF(AD810="","",IF(COUNTIF($AD$2:$AD$1000,AD810)&gt;1,"DUPLICADO NO TG",IF(COUNTIF('Bolsas e auxílios'!$J$5:$J$1000,AD810)=0,"FORA DO CONTROLE","LOCALIZADO")))</f>
        <v/>
      </c>
    </row>
    <row r="811" ht="15.75" customHeight="1"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9" t="str">
        <f t="shared" si="1"/>
        <v/>
      </c>
      <c r="AE811" s="79" t="str">
        <f>IF(AD811="","",IF(COUNTIF($AD$2:$AD$1000,AD811)&gt;1,"DUPLICADO NO TG",IF(COUNTIF('Bolsas e auxílios'!$J$5:$J$1000,AD811)=0,"FORA DO CONTROLE","LOCALIZADO")))</f>
        <v/>
      </c>
    </row>
    <row r="812" ht="15.75" customHeight="1"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9" t="str">
        <f t="shared" si="1"/>
        <v/>
      </c>
      <c r="AE812" s="79" t="str">
        <f>IF(AD812="","",IF(COUNTIF($AD$2:$AD$1000,AD812)&gt;1,"DUPLICADO NO TG",IF(COUNTIF('Bolsas e auxílios'!$J$5:$J$1000,AD812)=0,"FORA DO CONTROLE","LOCALIZADO")))</f>
        <v/>
      </c>
    </row>
    <row r="813" ht="15.75" customHeight="1"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9" t="str">
        <f t="shared" si="1"/>
        <v/>
      </c>
      <c r="AE813" s="79" t="str">
        <f>IF(AD813="","",IF(COUNTIF($AD$2:$AD$1000,AD813)&gt;1,"DUPLICADO NO TG",IF(COUNTIF('Bolsas e auxílios'!$J$5:$J$1000,AD813)=0,"FORA DO CONTROLE","LOCALIZADO")))</f>
        <v/>
      </c>
    </row>
    <row r="814" ht="15.75" customHeight="1"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9" t="str">
        <f t="shared" si="1"/>
        <v/>
      </c>
      <c r="AE814" s="79" t="str">
        <f>IF(AD814="","",IF(COUNTIF($AD$2:$AD$1000,AD814)&gt;1,"DUPLICADO NO TG",IF(COUNTIF('Bolsas e auxílios'!$J$5:$J$1000,AD814)=0,"FORA DO CONTROLE","LOCALIZADO")))</f>
        <v/>
      </c>
    </row>
    <row r="815" ht="15.75" customHeight="1"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9" t="str">
        <f t="shared" si="1"/>
        <v/>
      </c>
      <c r="AE815" s="79" t="str">
        <f>IF(AD815="","",IF(COUNTIF($AD$2:$AD$1000,AD815)&gt;1,"DUPLICADO NO TG",IF(COUNTIF('Bolsas e auxílios'!$J$5:$J$1000,AD815)=0,"FORA DO CONTROLE","LOCALIZADO")))</f>
        <v/>
      </c>
    </row>
    <row r="816" ht="15.75" customHeight="1"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9" t="str">
        <f t="shared" si="1"/>
        <v/>
      </c>
      <c r="AE816" s="79" t="str">
        <f>IF(AD816="","",IF(COUNTIF($AD$2:$AD$1000,AD816)&gt;1,"DUPLICADO NO TG",IF(COUNTIF('Bolsas e auxílios'!$J$5:$J$1000,AD816)=0,"FORA DO CONTROLE","LOCALIZADO")))</f>
        <v/>
      </c>
    </row>
    <row r="817" ht="15.75" customHeight="1"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9" t="str">
        <f t="shared" si="1"/>
        <v/>
      </c>
      <c r="AE817" s="79" t="str">
        <f>IF(AD817="","",IF(COUNTIF($AD$2:$AD$1000,AD817)&gt;1,"DUPLICADO NO TG",IF(COUNTIF('Bolsas e auxílios'!$J$5:$J$1000,AD817)=0,"FORA DO CONTROLE","LOCALIZADO")))</f>
        <v/>
      </c>
    </row>
    <row r="818" ht="15.75" customHeight="1"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9" t="str">
        <f t="shared" si="1"/>
        <v/>
      </c>
      <c r="AE818" s="79" t="str">
        <f>IF(AD818="","",IF(COUNTIF($AD$2:$AD$1000,AD818)&gt;1,"DUPLICADO NO TG",IF(COUNTIF('Bolsas e auxílios'!$J$5:$J$1000,AD818)=0,"FORA DO CONTROLE","LOCALIZADO")))</f>
        <v/>
      </c>
    </row>
    <row r="819" ht="15.75" customHeight="1"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9" t="str">
        <f t="shared" si="1"/>
        <v/>
      </c>
      <c r="AE819" s="79" t="str">
        <f>IF(AD819="","",IF(COUNTIF($AD$2:$AD$1000,AD819)&gt;1,"DUPLICADO NO TG",IF(COUNTIF('Bolsas e auxílios'!$J$5:$J$1000,AD819)=0,"FORA DO CONTROLE","LOCALIZADO")))</f>
        <v/>
      </c>
    </row>
    <row r="820" ht="15.75" customHeight="1"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9" t="str">
        <f t="shared" si="1"/>
        <v/>
      </c>
      <c r="AE820" s="79" t="str">
        <f>IF(AD820="","",IF(COUNTIF($AD$2:$AD$1000,AD820)&gt;1,"DUPLICADO NO TG",IF(COUNTIF('Bolsas e auxílios'!$J$5:$J$1000,AD820)=0,"FORA DO CONTROLE","LOCALIZADO")))</f>
        <v/>
      </c>
    </row>
    <row r="821" ht="15.75" customHeight="1"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9" t="str">
        <f t="shared" si="1"/>
        <v/>
      </c>
      <c r="AE821" s="79" t="str">
        <f>IF(AD821="","",IF(COUNTIF($AD$2:$AD$1000,AD821)&gt;1,"DUPLICADO NO TG",IF(COUNTIF('Bolsas e auxílios'!$J$5:$J$1000,AD821)=0,"FORA DO CONTROLE","LOCALIZADO")))</f>
        <v/>
      </c>
    </row>
    <row r="822" ht="15.75" customHeight="1"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9" t="str">
        <f t="shared" si="1"/>
        <v/>
      </c>
      <c r="AE822" s="79" t="str">
        <f>IF(AD822="","",IF(COUNTIF($AD$2:$AD$1000,AD822)&gt;1,"DUPLICADO NO TG",IF(COUNTIF('Bolsas e auxílios'!$J$5:$J$1000,AD822)=0,"FORA DO CONTROLE","LOCALIZADO")))</f>
        <v/>
      </c>
    </row>
    <row r="823" ht="15.75" customHeight="1"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9" t="str">
        <f t="shared" si="1"/>
        <v/>
      </c>
      <c r="AE823" s="79" t="str">
        <f>IF(AD823="","",IF(COUNTIF($AD$2:$AD$1000,AD823)&gt;1,"DUPLICADO NO TG",IF(COUNTIF('Bolsas e auxílios'!$J$5:$J$1000,AD823)=0,"FORA DO CONTROLE","LOCALIZADO")))</f>
        <v/>
      </c>
    </row>
    <row r="824" ht="15.75" customHeight="1"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9" t="str">
        <f t="shared" si="1"/>
        <v/>
      </c>
      <c r="AE824" s="79" t="str">
        <f>IF(AD824="","",IF(COUNTIF($AD$2:$AD$1000,AD824)&gt;1,"DUPLICADO NO TG",IF(COUNTIF('Bolsas e auxílios'!$J$5:$J$1000,AD824)=0,"FORA DO CONTROLE","LOCALIZADO")))</f>
        <v/>
      </c>
    </row>
    <row r="825" ht="15.75" customHeight="1"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9" t="str">
        <f t="shared" si="1"/>
        <v/>
      </c>
      <c r="AE825" s="79" t="str">
        <f>IF(AD825="","",IF(COUNTIF($AD$2:$AD$1000,AD825)&gt;1,"DUPLICADO NO TG",IF(COUNTIF('Bolsas e auxílios'!$J$5:$J$1000,AD825)=0,"FORA DO CONTROLE","LOCALIZADO")))</f>
        <v/>
      </c>
    </row>
    <row r="826" ht="15.75" customHeight="1"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9" t="str">
        <f t="shared" si="1"/>
        <v/>
      </c>
      <c r="AE826" s="79" t="str">
        <f>IF(AD826="","",IF(COUNTIF($AD$2:$AD$1000,AD826)&gt;1,"DUPLICADO NO TG",IF(COUNTIF('Bolsas e auxílios'!$J$5:$J$1000,AD826)=0,"FORA DO CONTROLE","LOCALIZADO")))</f>
        <v/>
      </c>
    </row>
    <row r="827" ht="15.75" customHeight="1"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9" t="str">
        <f t="shared" si="1"/>
        <v/>
      </c>
      <c r="AE827" s="79" t="str">
        <f>IF(AD827="","",IF(COUNTIF($AD$2:$AD$1000,AD827)&gt;1,"DUPLICADO NO TG",IF(COUNTIF('Bolsas e auxílios'!$J$5:$J$1000,AD827)=0,"FORA DO CONTROLE","LOCALIZADO")))</f>
        <v/>
      </c>
    </row>
    <row r="828" ht="15.75" customHeight="1"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9" t="str">
        <f t="shared" si="1"/>
        <v/>
      </c>
      <c r="AE828" s="79" t="str">
        <f>IF(AD828="","",IF(COUNTIF($AD$2:$AD$1000,AD828)&gt;1,"DUPLICADO NO TG",IF(COUNTIF('Bolsas e auxílios'!$J$5:$J$1000,AD828)=0,"FORA DO CONTROLE","LOCALIZADO")))</f>
        <v/>
      </c>
    </row>
    <row r="829" ht="15.75" customHeight="1"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9" t="str">
        <f t="shared" si="1"/>
        <v/>
      </c>
      <c r="AE829" s="79" t="str">
        <f>IF(AD829="","",IF(COUNTIF($AD$2:$AD$1000,AD829)&gt;1,"DUPLICADO NO TG",IF(COUNTIF('Bolsas e auxílios'!$J$5:$J$1000,AD829)=0,"FORA DO CONTROLE","LOCALIZADO")))</f>
        <v/>
      </c>
    </row>
    <row r="830" ht="15.75" customHeight="1"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9" t="str">
        <f t="shared" si="1"/>
        <v/>
      </c>
      <c r="AE830" s="79" t="str">
        <f>IF(AD830="","",IF(COUNTIF($AD$2:$AD$1000,AD830)&gt;1,"DUPLICADO NO TG",IF(COUNTIF('Bolsas e auxílios'!$J$5:$J$1000,AD830)=0,"FORA DO CONTROLE","LOCALIZADO")))</f>
        <v/>
      </c>
    </row>
    <row r="831" ht="15.75" customHeight="1"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9" t="str">
        <f t="shared" si="1"/>
        <v/>
      </c>
      <c r="AE831" s="79" t="str">
        <f>IF(AD831="","",IF(COUNTIF($AD$2:$AD$1000,AD831)&gt;1,"DUPLICADO NO TG",IF(COUNTIF('Bolsas e auxílios'!$J$5:$J$1000,AD831)=0,"FORA DO CONTROLE","LOCALIZADO")))</f>
        <v/>
      </c>
    </row>
    <row r="832" ht="15.75" customHeight="1"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9" t="str">
        <f t="shared" si="1"/>
        <v/>
      </c>
      <c r="AE832" s="79" t="str">
        <f>IF(AD832="","",IF(COUNTIF($AD$2:$AD$1000,AD832)&gt;1,"DUPLICADO NO TG",IF(COUNTIF('Bolsas e auxílios'!$J$5:$J$1000,AD832)=0,"FORA DO CONTROLE","LOCALIZADO")))</f>
        <v/>
      </c>
    </row>
    <row r="833" ht="15.75" customHeight="1"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9" t="str">
        <f t="shared" si="1"/>
        <v/>
      </c>
      <c r="AE833" s="79" t="str">
        <f>IF(AD833="","",IF(COUNTIF($AD$2:$AD$1000,AD833)&gt;1,"DUPLICADO NO TG",IF(COUNTIF('Bolsas e auxílios'!$J$5:$J$1000,AD833)=0,"FORA DO CONTROLE","LOCALIZADO")))</f>
        <v/>
      </c>
    </row>
    <row r="834" ht="15.75" customHeight="1"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9" t="str">
        <f t="shared" si="1"/>
        <v/>
      </c>
      <c r="AE834" s="79" t="str">
        <f>IF(AD834="","",IF(COUNTIF($AD$2:$AD$1000,AD834)&gt;1,"DUPLICADO NO TG",IF(COUNTIF('Bolsas e auxílios'!$J$5:$J$1000,AD834)=0,"FORA DO CONTROLE","LOCALIZADO")))</f>
        <v/>
      </c>
    </row>
    <row r="835" ht="15.75" customHeight="1"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9" t="str">
        <f t="shared" si="1"/>
        <v/>
      </c>
      <c r="AE835" s="79" t="str">
        <f>IF(AD835="","",IF(COUNTIF($AD$2:$AD$1000,AD835)&gt;1,"DUPLICADO NO TG",IF(COUNTIF('Bolsas e auxílios'!$J$5:$J$1000,AD835)=0,"FORA DO CONTROLE","LOCALIZADO")))</f>
        <v/>
      </c>
    </row>
    <row r="836" ht="15.75" customHeight="1"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9" t="str">
        <f t="shared" si="1"/>
        <v/>
      </c>
      <c r="AE836" s="79" t="str">
        <f>IF(AD836="","",IF(COUNTIF($AD$2:$AD$1000,AD836)&gt;1,"DUPLICADO NO TG",IF(COUNTIF('Bolsas e auxílios'!$J$5:$J$1000,AD836)=0,"FORA DO CONTROLE","LOCALIZADO")))</f>
        <v/>
      </c>
    </row>
    <row r="837" ht="15.75" customHeight="1"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9" t="str">
        <f t="shared" si="1"/>
        <v/>
      </c>
      <c r="AE837" s="79" t="str">
        <f>IF(AD837="","",IF(COUNTIF($AD$2:$AD$1000,AD837)&gt;1,"DUPLICADO NO TG",IF(COUNTIF('Bolsas e auxílios'!$J$5:$J$1000,AD837)=0,"FORA DO CONTROLE","LOCALIZADO")))</f>
        <v/>
      </c>
    </row>
    <row r="838" ht="15.75" customHeight="1"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9" t="str">
        <f t="shared" si="1"/>
        <v/>
      </c>
      <c r="AE838" s="79" t="str">
        <f>IF(AD838="","",IF(COUNTIF($AD$2:$AD$1000,AD838)&gt;1,"DUPLICADO NO TG",IF(COUNTIF('Bolsas e auxílios'!$J$5:$J$1000,AD838)=0,"FORA DO CONTROLE","LOCALIZADO")))</f>
        <v/>
      </c>
    </row>
    <row r="839" ht="15.75" customHeight="1"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9" t="str">
        <f t="shared" si="1"/>
        <v/>
      </c>
      <c r="AE839" s="79" t="str">
        <f>IF(AD839="","",IF(COUNTIF($AD$2:$AD$1000,AD839)&gt;1,"DUPLICADO NO TG",IF(COUNTIF('Bolsas e auxílios'!$J$5:$J$1000,AD839)=0,"FORA DO CONTROLE","LOCALIZADO")))</f>
        <v/>
      </c>
    </row>
    <row r="840" ht="15.75" customHeight="1"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9" t="str">
        <f t="shared" si="1"/>
        <v/>
      </c>
      <c r="AE840" s="79" t="str">
        <f>IF(AD840="","",IF(COUNTIF($AD$2:$AD$1000,AD840)&gt;1,"DUPLICADO NO TG",IF(COUNTIF('Bolsas e auxílios'!$J$5:$J$1000,AD840)=0,"FORA DO CONTROLE","LOCALIZADO")))</f>
        <v/>
      </c>
    </row>
    <row r="841" ht="15.75" customHeight="1"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9" t="str">
        <f t="shared" si="1"/>
        <v/>
      </c>
      <c r="AE841" s="79" t="str">
        <f>IF(AD841="","",IF(COUNTIF($AD$2:$AD$1000,AD841)&gt;1,"DUPLICADO NO TG",IF(COUNTIF('Bolsas e auxílios'!$J$5:$J$1000,AD841)=0,"FORA DO CONTROLE","LOCALIZADO")))</f>
        <v/>
      </c>
    </row>
    <row r="842" ht="15.75" customHeight="1"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9" t="str">
        <f t="shared" si="1"/>
        <v/>
      </c>
      <c r="AE842" s="79" t="str">
        <f>IF(AD842="","",IF(COUNTIF($AD$2:$AD$1000,AD842)&gt;1,"DUPLICADO NO TG",IF(COUNTIF('Bolsas e auxílios'!$J$5:$J$1000,AD842)=0,"FORA DO CONTROLE","LOCALIZADO")))</f>
        <v/>
      </c>
    </row>
    <row r="843" ht="15.75" customHeight="1"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9" t="str">
        <f t="shared" si="1"/>
        <v/>
      </c>
      <c r="AE843" s="79" t="str">
        <f>IF(AD843="","",IF(COUNTIF($AD$2:$AD$1000,AD843)&gt;1,"DUPLICADO NO TG",IF(COUNTIF('Bolsas e auxílios'!$J$5:$J$1000,AD843)=0,"FORA DO CONTROLE","LOCALIZADO")))</f>
        <v/>
      </c>
    </row>
    <row r="844" ht="15.75" customHeight="1"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9" t="str">
        <f t="shared" si="1"/>
        <v/>
      </c>
      <c r="AE844" s="79" t="str">
        <f>IF(AD844="","",IF(COUNTIF($AD$2:$AD$1000,AD844)&gt;1,"DUPLICADO NO TG",IF(COUNTIF('Bolsas e auxílios'!$J$5:$J$1000,AD844)=0,"FORA DO CONTROLE","LOCALIZADO")))</f>
        <v/>
      </c>
    </row>
    <row r="845" ht="15.75" customHeight="1"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9" t="str">
        <f t="shared" si="1"/>
        <v/>
      </c>
      <c r="AE845" s="79" t="str">
        <f>IF(AD845="","",IF(COUNTIF($AD$2:$AD$1000,AD845)&gt;1,"DUPLICADO NO TG",IF(COUNTIF('Bolsas e auxílios'!$J$5:$J$1000,AD845)=0,"FORA DO CONTROLE","LOCALIZADO")))</f>
        <v/>
      </c>
    </row>
    <row r="846" ht="15.75" customHeight="1"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9" t="str">
        <f t="shared" si="1"/>
        <v/>
      </c>
      <c r="AE846" s="79" t="str">
        <f>IF(AD846="","",IF(COUNTIF($AD$2:$AD$1000,AD846)&gt;1,"DUPLICADO NO TG",IF(COUNTIF('Bolsas e auxílios'!$J$5:$J$1000,AD846)=0,"FORA DO CONTROLE","LOCALIZADO")))</f>
        <v/>
      </c>
    </row>
    <row r="847" ht="15.75" customHeight="1"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9" t="str">
        <f t="shared" si="1"/>
        <v/>
      </c>
      <c r="AE847" s="79" t="str">
        <f>IF(AD847="","",IF(COUNTIF($AD$2:$AD$1000,AD847)&gt;1,"DUPLICADO NO TG",IF(COUNTIF('Bolsas e auxílios'!$J$5:$J$1000,AD847)=0,"FORA DO CONTROLE","LOCALIZADO")))</f>
        <v/>
      </c>
    </row>
    <row r="848" ht="15.75" customHeight="1"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9" t="str">
        <f t="shared" si="1"/>
        <v/>
      </c>
      <c r="AE848" s="79" t="str">
        <f>IF(AD848="","",IF(COUNTIF($AD$2:$AD$1000,AD848)&gt;1,"DUPLICADO NO TG",IF(COUNTIF('Bolsas e auxílios'!$J$5:$J$1000,AD848)=0,"FORA DO CONTROLE","LOCALIZADO")))</f>
        <v/>
      </c>
    </row>
    <row r="849" ht="15.75" customHeight="1"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9" t="str">
        <f t="shared" si="1"/>
        <v/>
      </c>
      <c r="AE849" s="79" t="str">
        <f>IF(AD849="","",IF(COUNTIF($AD$2:$AD$1000,AD849)&gt;1,"DUPLICADO NO TG",IF(COUNTIF('Bolsas e auxílios'!$J$5:$J$1000,AD849)=0,"FORA DO CONTROLE","LOCALIZADO")))</f>
        <v/>
      </c>
    </row>
    <row r="850" ht="15.75" customHeight="1"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9" t="str">
        <f t="shared" si="1"/>
        <v/>
      </c>
      <c r="AE850" s="79" t="str">
        <f>IF(AD850="","",IF(COUNTIF($AD$2:$AD$1000,AD850)&gt;1,"DUPLICADO NO TG",IF(COUNTIF('Bolsas e auxílios'!$J$5:$J$1000,AD850)=0,"FORA DO CONTROLE","LOCALIZADO")))</f>
        <v/>
      </c>
    </row>
    <row r="851" ht="15.75" customHeight="1"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9" t="str">
        <f t="shared" si="1"/>
        <v/>
      </c>
      <c r="AE851" s="79" t="str">
        <f>IF(AD851="","",IF(COUNTIF($AD$2:$AD$1000,AD851)&gt;1,"DUPLICADO NO TG",IF(COUNTIF('Bolsas e auxílios'!$J$5:$J$1000,AD851)=0,"FORA DO CONTROLE","LOCALIZADO")))</f>
        <v/>
      </c>
    </row>
    <row r="852" ht="15.75" customHeight="1"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9" t="str">
        <f t="shared" si="1"/>
        <v/>
      </c>
      <c r="AE852" s="79" t="str">
        <f>IF(AD852="","",IF(COUNTIF($AD$2:$AD$1000,AD852)&gt;1,"DUPLICADO NO TG",IF(COUNTIF('Bolsas e auxílios'!$J$5:$J$1000,AD852)=0,"FORA DO CONTROLE","LOCALIZADO")))</f>
        <v/>
      </c>
    </row>
    <row r="853" ht="15.75" customHeight="1"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9" t="str">
        <f t="shared" si="1"/>
        <v/>
      </c>
      <c r="AE853" s="79" t="str">
        <f>IF(AD853="","",IF(COUNTIF($AD$2:$AD$1000,AD853)&gt;1,"DUPLICADO NO TG",IF(COUNTIF('Bolsas e auxílios'!$J$5:$J$1000,AD853)=0,"FORA DO CONTROLE","LOCALIZADO")))</f>
        <v/>
      </c>
    </row>
    <row r="854" ht="15.75" customHeight="1"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9" t="str">
        <f t="shared" si="1"/>
        <v/>
      </c>
      <c r="AE854" s="79" t="str">
        <f>IF(AD854="","",IF(COUNTIF($AD$2:$AD$1000,AD854)&gt;1,"DUPLICADO NO TG",IF(COUNTIF('Bolsas e auxílios'!$J$5:$J$1000,AD854)=0,"FORA DO CONTROLE","LOCALIZADO")))</f>
        <v/>
      </c>
    </row>
    <row r="855" ht="15.75" customHeight="1"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9" t="str">
        <f t="shared" si="1"/>
        <v/>
      </c>
      <c r="AE855" s="79" t="str">
        <f>IF(AD855="","",IF(COUNTIF($AD$2:$AD$1000,AD855)&gt;1,"DUPLICADO NO TG",IF(COUNTIF('Bolsas e auxílios'!$J$5:$J$1000,AD855)=0,"FORA DO CONTROLE","LOCALIZADO")))</f>
        <v/>
      </c>
    </row>
    <row r="856" ht="15.75" customHeight="1"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9" t="str">
        <f t="shared" si="1"/>
        <v/>
      </c>
      <c r="AE856" s="79" t="str">
        <f>IF(AD856="","",IF(COUNTIF($AD$2:$AD$1000,AD856)&gt;1,"DUPLICADO NO TG",IF(COUNTIF('Bolsas e auxílios'!$J$5:$J$1000,AD856)=0,"FORA DO CONTROLE","LOCALIZADO")))</f>
        <v/>
      </c>
    </row>
    <row r="857" ht="15.75" customHeight="1"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9" t="str">
        <f t="shared" si="1"/>
        <v/>
      </c>
      <c r="AE857" s="79" t="str">
        <f>IF(AD857="","",IF(COUNTIF($AD$2:$AD$1000,AD857)&gt;1,"DUPLICADO NO TG",IF(COUNTIF('Bolsas e auxílios'!$J$5:$J$1000,AD857)=0,"FORA DO CONTROLE","LOCALIZADO")))</f>
        <v/>
      </c>
    </row>
    <row r="858" ht="15.75" customHeight="1"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9" t="str">
        <f t="shared" si="1"/>
        <v/>
      </c>
      <c r="AE858" s="79" t="str">
        <f>IF(AD858="","",IF(COUNTIF($AD$2:$AD$1000,AD858)&gt;1,"DUPLICADO NO TG",IF(COUNTIF('Bolsas e auxílios'!$J$5:$J$1000,AD858)=0,"FORA DO CONTROLE","LOCALIZADO")))</f>
        <v/>
      </c>
    </row>
    <row r="859" ht="15.75" customHeight="1"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9" t="str">
        <f t="shared" si="1"/>
        <v/>
      </c>
      <c r="AE859" s="79" t="str">
        <f>IF(AD859="","",IF(COUNTIF($AD$2:$AD$1000,AD859)&gt;1,"DUPLICADO NO TG",IF(COUNTIF('Bolsas e auxílios'!$J$5:$J$1000,AD859)=0,"FORA DO CONTROLE","LOCALIZADO")))</f>
        <v/>
      </c>
    </row>
    <row r="860" ht="15.75" customHeight="1"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9" t="str">
        <f t="shared" si="1"/>
        <v/>
      </c>
      <c r="AE860" s="79" t="str">
        <f>IF(AD860="","",IF(COUNTIF($AD$2:$AD$1000,AD860)&gt;1,"DUPLICADO NO TG",IF(COUNTIF('Bolsas e auxílios'!$J$5:$J$1000,AD860)=0,"FORA DO CONTROLE","LOCALIZADO")))</f>
        <v/>
      </c>
    </row>
    <row r="861" ht="15.75" customHeight="1"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9" t="str">
        <f t="shared" si="1"/>
        <v/>
      </c>
      <c r="AE861" s="79" t="str">
        <f>IF(AD861="","",IF(COUNTIF($AD$2:$AD$1000,AD861)&gt;1,"DUPLICADO NO TG",IF(COUNTIF('Bolsas e auxílios'!$J$5:$J$1000,AD861)=0,"FORA DO CONTROLE","LOCALIZADO")))</f>
        <v/>
      </c>
    </row>
    <row r="862" ht="15.75" customHeight="1"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9" t="str">
        <f t="shared" si="1"/>
        <v/>
      </c>
      <c r="AE862" s="79" t="str">
        <f>IF(AD862="","",IF(COUNTIF($AD$2:$AD$1000,AD862)&gt;1,"DUPLICADO NO TG",IF(COUNTIF('Bolsas e auxílios'!$J$5:$J$1000,AD862)=0,"FORA DO CONTROLE","LOCALIZADO")))</f>
        <v/>
      </c>
    </row>
    <row r="863" ht="15.75" customHeight="1"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9" t="str">
        <f t="shared" si="1"/>
        <v/>
      </c>
      <c r="AE863" s="79" t="str">
        <f>IF(AD863="","",IF(COUNTIF($AD$2:$AD$1000,AD863)&gt;1,"DUPLICADO NO TG",IF(COUNTIF('Bolsas e auxílios'!$J$5:$J$1000,AD863)=0,"FORA DO CONTROLE","LOCALIZADO")))</f>
        <v/>
      </c>
    </row>
    <row r="864" ht="15.75" customHeight="1"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9" t="str">
        <f t="shared" si="1"/>
        <v/>
      </c>
      <c r="AE864" s="79" t="str">
        <f>IF(AD864="","",IF(COUNTIF($AD$2:$AD$1000,AD864)&gt;1,"DUPLICADO NO TG",IF(COUNTIF('Bolsas e auxílios'!$J$5:$J$1000,AD864)=0,"FORA DO CONTROLE","LOCALIZADO")))</f>
        <v/>
      </c>
    </row>
    <row r="865" ht="15.75" customHeight="1"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9" t="str">
        <f t="shared" si="1"/>
        <v/>
      </c>
      <c r="AE865" s="79" t="str">
        <f>IF(AD865="","",IF(COUNTIF($AD$2:$AD$1000,AD865)&gt;1,"DUPLICADO NO TG",IF(COUNTIF('Bolsas e auxílios'!$J$5:$J$1000,AD865)=0,"FORA DO CONTROLE","LOCALIZADO")))</f>
        <v/>
      </c>
    </row>
    <row r="866" ht="15.75" customHeight="1"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9" t="str">
        <f t="shared" si="1"/>
        <v/>
      </c>
      <c r="AE866" s="79" t="str">
        <f>IF(AD866="","",IF(COUNTIF($AD$2:$AD$1000,AD866)&gt;1,"DUPLICADO NO TG",IF(COUNTIF('Bolsas e auxílios'!$J$5:$J$1000,AD866)=0,"FORA DO CONTROLE","LOCALIZADO")))</f>
        <v/>
      </c>
    </row>
    <row r="867" ht="15.75" customHeight="1"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9" t="str">
        <f t="shared" si="1"/>
        <v/>
      </c>
      <c r="AE867" s="79" t="str">
        <f>IF(AD867="","",IF(COUNTIF($AD$2:$AD$1000,AD867)&gt;1,"DUPLICADO NO TG",IF(COUNTIF('Bolsas e auxílios'!$J$5:$J$1000,AD867)=0,"FORA DO CONTROLE","LOCALIZADO")))</f>
        <v/>
      </c>
    </row>
    <row r="868" ht="15.75" customHeight="1"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9" t="str">
        <f t="shared" si="1"/>
        <v/>
      </c>
      <c r="AE868" s="79" t="str">
        <f>IF(AD868="","",IF(COUNTIF($AD$2:$AD$1000,AD868)&gt;1,"DUPLICADO NO TG",IF(COUNTIF('Bolsas e auxílios'!$J$5:$J$1000,AD868)=0,"FORA DO CONTROLE","LOCALIZADO")))</f>
        <v/>
      </c>
    </row>
    <row r="869" ht="15.75" customHeight="1"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9" t="str">
        <f t="shared" si="1"/>
        <v/>
      </c>
      <c r="AE869" s="79" t="str">
        <f>IF(AD869="","",IF(COUNTIF($AD$2:$AD$1000,AD869)&gt;1,"DUPLICADO NO TG",IF(COUNTIF('Bolsas e auxílios'!$J$5:$J$1000,AD869)=0,"FORA DO CONTROLE","LOCALIZADO")))</f>
        <v/>
      </c>
    </row>
    <row r="870" ht="15.75" customHeight="1"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9" t="str">
        <f t="shared" si="1"/>
        <v/>
      </c>
      <c r="AE870" s="79" t="str">
        <f>IF(AD870="","",IF(COUNTIF($AD$2:$AD$1000,AD870)&gt;1,"DUPLICADO NO TG",IF(COUNTIF('Bolsas e auxílios'!$J$5:$J$1000,AD870)=0,"FORA DO CONTROLE","LOCALIZADO")))</f>
        <v/>
      </c>
    </row>
    <row r="871" ht="15.75" customHeight="1"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9" t="str">
        <f t="shared" si="1"/>
        <v/>
      </c>
      <c r="AE871" s="79" t="str">
        <f>IF(AD871="","",IF(COUNTIF($AD$2:$AD$1000,AD871)&gt;1,"DUPLICADO NO TG",IF(COUNTIF('Bolsas e auxílios'!$J$5:$J$1000,AD871)=0,"FORA DO CONTROLE","LOCALIZADO")))</f>
        <v/>
      </c>
    </row>
    <row r="872" ht="15.75" customHeight="1"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9" t="str">
        <f t="shared" si="1"/>
        <v/>
      </c>
      <c r="AE872" s="79" t="str">
        <f>IF(AD872="","",IF(COUNTIF($AD$2:$AD$1000,AD872)&gt;1,"DUPLICADO NO TG",IF(COUNTIF('Bolsas e auxílios'!$J$5:$J$1000,AD872)=0,"FORA DO CONTROLE","LOCALIZADO")))</f>
        <v/>
      </c>
    </row>
    <row r="873" ht="15.75" customHeight="1"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9" t="str">
        <f t="shared" si="1"/>
        <v/>
      </c>
      <c r="AE873" s="79" t="str">
        <f>IF(AD873="","",IF(COUNTIF($AD$2:$AD$1000,AD873)&gt;1,"DUPLICADO NO TG",IF(COUNTIF('Bolsas e auxílios'!$J$5:$J$1000,AD873)=0,"FORA DO CONTROLE","LOCALIZADO")))</f>
        <v/>
      </c>
    </row>
    <row r="874" ht="15.75" customHeight="1"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9" t="str">
        <f t="shared" si="1"/>
        <v/>
      </c>
      <c r="AE874" s="79" t="str">
        <f>IF(AD874="","",IF(COUNTIF($AD$2:$AD$1000,AD874)&gt;1,"DUPLICADO NO TG",IF(COUNTIF('Bolsas e auxílios'!$J$5:$J$1000,AD874)=0,"FORA DO CONTROLE","LOCALIZADO")))</f>
        <v/>
      </c>
    </row>
    <row r="875" ht="15.75" customHeight="1"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9" t="str">
        <f t="shared" si="1"/>
        <v/>
      </c>
      <c r="AE875" s="79" t="str">
        <f>IF(AD875="","",IF(COUNTIF($AD$2:$AD$1000,AD875)&gt;1,"DUPLICADO NO TG",IF(COUNTIF('Bolsas e auxílios'!$J$5:$J$1000,AD875)=0,"FORA DO CONTROLE","LOCALIZADO")))</f>
        <v/>
      </c>
    </row>
    <row r="876" ht="15.75" customHeight="1"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9" t="str">
        <f t="shared" si="1"/>
        <v/>
      </c>
      <c r="AE876" s="79" t="str">
        <f>IF(AD876="","",IF(COUNTIF($AD$2:$AD$1000,AD876)&gt;1,"DUPLICADO NO TG",IF(COUNTIF('Bolsas e auxílios'!$J$5:$J$1000,AD876)=0,"FORA DO CONTROLE","LOCALIZADO")))</f>
        <v/>
      </c>
    </row>
    <row r="877" ht="15.75" customHeight="1"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9" t="str">
        <f t="shared" si="1"/>
        <v/>
      </c>
      <c r="AE877" s="79" t="str">
        <f>IF(AD877="","",IF(COUNTIF($AD$2:$AD$1000,AD877)&gt;1,"DUPLICADO NO TG",IF(COUNTIF('Bolsas e auxílios'!$J$5:$J$1000,AD877)=0,"FORA DO CONTROLE","LOCALIZADO")))</f>
        <v/>
      </c>
    </row>
    <row r="878" ht="15.75" customHeight="1"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9" t="str">
        <f t="shared" si="1"/>
        <v/>
      </c>
      <c r="AE878" s="79" t="str">
        <f>IF(AD878="","",IF(COUNTIF($AD$2:$AD$1000,AD878)&gt;1,"DUPLICADO NO TG",IF(COUNTIF('Bolsas e auxílios'!$J$5:$J$1000,AD878)=0,"FORA DO CONTROLE","LOCALIZADO")))</f>
        <v/>
      </c>
    </row>
    <row r="879" ht="15.75" customHeight="1"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9" t="str">
        <f t="shared" si="1"/>
        <v/>
      </c>
      <c r="AE879" s="79" t="str">
        <f>IF(AD879="","",IF(COUNTIF($AD$2:$AD$1000,AD879)&gt;1,"DUPLICADO NO TG",IF(COUNTIF('Bolsas e auxílios'!$J$5:$J$1000,AD879)=0,"FORA DO CONTROLE","LOCALIZADO")))</f>
        <v/>
      </c>
    </row>
    <row r="880" ht="15.75" customHeight="1"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9" t="str">
        <f t="shared" si="1"/>
        <v/>
      </c>
      <c r="AE880" s="79" t="str">
        <f>IF(AD880="","",IF(COUNTIF($AD$2:$AD$1000,AD880)&gt;1,"DUPLICADO NO TG",IF(COUNTIF('Bolsas e auxílios'!$J$5:$J$1000,AD880)=0,"FORA DO CONTROLE","LOCALIZADO")))</f>
        <v/>
      </c>
    </row>
    <row r="881" ht="15.75" customHeight="1"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9" t="str">
        <f t="shared" si="1"/>
        <v/>
      </c>
      <c r="AE881" s="79" t="str">
        <f>IF(AD881="","",IF(COUNTIF($AD$2:$AD$1000,AD881)&gt;1,"DUPLICADO NO TG",IF(COUNTIF('Bolsas e auxílios'!$J$5:$J$1000,AD881)=0,"FORA DO CONTROLE","LOCALIZADO")))</f>
        <v/>
      </c>
    </row>
    <row r="882" ht="15.75" customHeight="1"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9" t="str">
        <f t="shared" si="1"/>
        <v/>
      </c>
      <c r="AE882" s="79" t="str">
        <f>IF(AD882="","",IF(COUNTIF($AD$2:$AD$1000,AD882)&gt;1,"DUPLICADO NO TG",IF(COUNTIF('Bolsas e auxílios'!$J$5:$J$1000,AD882)=0,"FORA DO CONTROLE","LOCALIZADO")))</f>
        <v/>
      </c>
    </row>
    <row r="883" ht="15.75" customHeight="1"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9" t="str">
        <f t="shared" si="1"/>
        <v/>
      </c>
      <c r="AE883" s="79" t="str">
        <f>IF(AD883="","",IF(COUNTIF($AD$2:$AD$1000,AD883)&gt;1,"DUPLICADO NO TG",IF(COUNTIF('Bolsas e auxílios'!$J$5:$J$1000,AD883)=0,"FORA DO CONTROLE","LOCALIZADO")))</f>
        <v/>
      </c>
    </row>
    <row r="884" ht="15.75" customHeight="1"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9" t="str">
        <f t="shared" si="1"/>
        <v/>
      </c>
      <c r="AE884" s="79" t="str">
        <f>IF(AD884="","",IF(COUNTIF($AD$2:$AD$1000,AD884)&gt;1,"DUPLICADO NO TG",IF(COUNTIF('Bolsas e auxílios'!$J$5:$J$1000,AD884)=0,"FORA DO CONTROLE","LOCALIZADO")))</f>
        <v/>
      </c>
    </row>
    <row r="885" ht="15.75" customHeight="1"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9" t="str">
        <f t="shared" si="1"/>
        <v/>
      </c>
      <c r="AE885" s="79" t="str">
        <f>IF(AD885="","",IF(COUNTIF($AD$2:$AD$1000,AD885)&gt;1,"DUPLICADO NO TG",IF(COUNTIF('Bolsas e auxílios'!$J$5:$J$1000,AD885)=0,"FORA DO CONTROLE","LOCALIZADO")))</f>
        <v/>
      </c>
    </row>
    <row r="886" ht="15.75" customHeight="1"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9" t="str">
        <f t="shared" si="1"/>
        <v/>
      </c>
      <c r="AE886" s="79" t="str">
        <f>IF(AD886="","",IF(COUNTIF($AD$2:$AD$1000,AD886)&gt;1,"DUPLICADO NO TG",IF(COUNTIF('Bolsas e auxílios'!$J$5:$J$1000,AD886)=0,"FORA DO CONTROLE","LOCALIZADO")))</f>
        <v/>
      </c>
    </row>
    <row r="887" ht="15.75" customHeight="1"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9" t="str">
        <f t="shared" si="1"/>
        <v/>
      </c>
      <c r="AE887" s="79" t="str">
        <f>IF(AD887="","",IF(COUNTIF($AD$2:$AD$1000,AD887)&gt;1,"DUPLICADO NO TG",IF(COUNTIF('Bolsas e auxílios'!$J$5:$J$1000,AD887)=0,"FORA DO CONTROLE","LOCALIZADO")))</f>
        <v/>
      </c>
    </row>
    <row r="888" ht="15.75" customHeight="1"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9" t="str">
        <f t="shared" si="1"/>
        <v/>
      </c>
      <c r="AE888" s="79" t="str">
        <f>IF(AD888="","",IF(COUNTIF($AD$2:$AD$1000,AD888)&gt;1,"DUPLICADO NO TG",IF(COUNTIF('Bolsas e auxílios'!$J$5:$J$1000,AD888)=0,"FORA DO CONTROLE","LOCALIZADO")))</f>
        <v/>
      </c>
    </row>
    <row r="889" ht="15.75" customHeight="1"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9" t="str">
        <f t="shared" si="1"/>
        <v/>
      </c>
      <c r="AE889" s="79" t="str">
        <f>IF(AD889="","",IF(COUNTIF($AD$2:$AD$1000,AD889)&gt;1,"DUPLICADO NO TG",IF(COUNTIF('Bolsas e auxílios'!$J$5:$J$1000,AD889)=0,"FORA DO CONTROLE","LOCALIZADO")))</f>
        <v/>
      </c>
    </row>
    <row r="890" ht="15.75" customHeight="1"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9" t="str">
        <f t="shared" si="1"/>
        <v/>
      </c>
      <c r="AE890" s="79" t="str">
        <f>IF(AD890="","",IF(COUNTIF($AD$2:$AD$1000,AD890)&gt;1,"DUPLICADO NO TG",IF(COUNTIF('Bolsas e auxílios'!$J$5:$J$1000,AD890)=0,"FORA DO CONTROLE","LOCALIZADO")))</f>
        <v/>
      </c>
    </row>
    <row r="891" ht="15.75" customHeight="1"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9" t="str">
        <f t="shared" si="1"/>
        <v/>
      </c>
      <c r="AE891" s="79" t="str">
        <f>IF(AD891="","",IF(COUNTIF($AD$2:$AD$1000,AD891)&gt;1,"DUPLICADO NO TG",IF(COUNTIF('Bolsas e auxílios'!$J$5:$J$1000,AD891)=0,"FORA DO CONTROLE","LOCALIZADO")))</f>
        <v/>
      </c>
    </row>
    <row r="892" ht="15.75" customHeight="1"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9" t="str">
        <f t="shared" si="1"/>
        <v/>
      </c>
      <c r="AE892" s="79" t="str">
        <f>IF(AD892="","",IF(COUNTIF($AD$2:$AD$1000,AD892)&gt;1,"DUPLICADO NO TG",IF(COUNTIF('Bolsas e auxílios'!$J$5:$J$1000,AD892)=0,"FORA DO CONTROLE","LOCALIZADO")))</f>
        <v/>
      </c>
    </row>
    <row r="893" ht="15.75" customHeight="1"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9" t="str">
        <f t="shared" si="1"/>
        <v/>
      </c>
      <c r="AE893" s="79" t="str">
        <f>IF(AD893="","",IF(COUNTIF($AD$2:$AD$1000,AD893)&gt;1,"DUPLICADO NO TG",IF(COUNTIF('Bolsas e auxílios'!$J$5:$J$1000,AD893)=0,"FORA DO CONTROLE","LOCALIZADO")))</f>
        <v/>
      </c>
    </row>
    <row r="894" ht="15.75" customHeight="1"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9" t="str">
        <f t="shared" si="1"/>
        <v/>
      </c>
      <c r="AE894" s="79" t="str">
        <f>IF(AD894="","",IF(COUNTIF($AD$2:$AD$1000,AD894)&gt;1,"DUPLICADO NO TG",IF(COUNTIF('Bolsas e auxílios'!$J$5:$J$1000,AD894)=0,"FORA DO CONTROLE","LOCALIZADO")))</f>
        <v/>
      </c>
    </row>
    <row r="895" ht="15.75" customHeight="1"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9" t="str">
        <f t="shared" si="1"/>
        <v/>
      </c>
      <c r="AE895" s="79" t="str">
        <f>IF(AD895="","",IF(COUNTIF($AD$2:$AD$1000,AD895)&gt;1,"DUPLICADO NO TG",IF(COUNTIF('Bolsas e auxílios'!$J$5:$J$1000,AD895)=0,"FORA DO CONTROLE","LOCALIZADO")))</f>
        <v/>
      </c>
    </row>
    <row r="896" ht="15.75" customHeight="1"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9" t="str">
        <f t="shared" si="1"/>
        <v/>
      </c>
      <c r="AE896" s="79" t="str">
        <f>IF(AD896="","",IF(COUNTIF($AD$2:$AD$1000,AD896)&gt;1,"DUPLICADO NO TG",IF(COUNTIF('Bolsas e auxílios'!$J$5:$J$1000,AD896)=0,"FORA DO CONTROLE","LOCALIZADO")))</f>
        <v/>
      </c>
    </row>
    <row r="897" ht="15.75" customHeight="1"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9" t="str">
        <f t="shared" si="1"/>
        <v/>
      </c>
      <c r="AE897" s="79" t="str">
        <f>IF(AD897="","",IF(COUNTIF($AD$2:$AD$1000,AD897)&gt;1,"DUPLICADO NO TG",IF(COUNTIF('Bolsas e auxílios'!$J$5:$J$1000,AD897)=0,"FORA DO CONTROLE","LOCALIZADO")))</f>
        <v/>
      </c>
    </row>
    <row r="898" ht="15.75" customHeight="1"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9" t="str">
        <f t="shared" si="1"/>
        <v/>
      </c>
      <c r="AE898" s="79" t="str">
        <f>IF(AD898="","",IF(COUNTIF($AD$2:$AD$1000,AD898)&gt;1,"DUPLICADO NO TG",IF(COUNTIF('Bolsas e auxílios'!$J$5:$J$1000,AD898)=0,"FORA DO CONTROLE","LOCALIZADO")))</f>
        <v/>
      </c>
    </row>
    <row r="899" ht="15.75" customHeight="1"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9" t="str">
        <f t="shared" si="1"/>
        <v/>
      </c>
      <c r="AE899" s="79" t="str">
        <f>IF(AD899="","",IF(COUNTIF($AD$2:$AD$1000,AD899)&gt;1,"DUPLICADO NO TG",IF(COUNTIF('Bolsas e auxílios'!$J$5:$J$1000,AD899)=0,"FORA DO CONTROLE","LOCALIZADO")))</f>
        <v/>
      </c>
    </row>
    <row r="900" ht="15.75" customHeight="1"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9" t="str">
        <f t="shared" si="1"/>
        <v/>
      </c>
      <c r="AE900" s="79" t="str">
        <f>IF(AD900="","",IF(COUNTIF($AD$2:$AD$1000,AD900)&gt;1,"DUPLICADO NO TG",IF(COUNTIF('Bolsas e auxílios'!$J$5:$J$1000,AD900)=0,"FORA DO CONTROLE","LOCALIZADO")))</f>
        <v/>
      </c>
    </row>
    <row r="901" ht="15.75" customHeight="1"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9" t="str">
        <f t="shared" si="1"/>
        <v/>
      </c>
      <c r="AE901" s="79" t="str">
        <f>IF(AD901="","",IF(COUNTIF($AD$2:$AD$1000,AD901)&gt;1,"DUPLICADO NO TG",IF(COUNTIF('Bolsas e auxílios'!$J$5:$J$1000,AD901)=0,"FORA DO CONTROLE","LOCALIZADO")))</f>
        <v/>
      </c>
    </row>
    <row r="902" ht="15.75" customHeight="1"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9" t="str">
        <f t="shared" si="1"/>
        <v/>
      </c>
      <c r="AE902" s="79" t="str">
        <f>IF(AD902="","",IF(COUNTIF($AD$2:$AD$1000,AD902)&gt;1,"DUPLICADO NO TG",IF(COUNTIF('Bolsas e auxílios'!$J$5:$J$1000,AD902)=0,"FORA DO CONTROLE","LOCALIZADO")))</f>
        <v/>
      </c>
    </row>
    <row r="903" ht="15.75" customHeight="1"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9" t="str">
        <f t="shared" si="1"/>
        <v/>
      </c>
      <c r="AE903" s="79" t="str">
        <f>IF(AD903="","",IF(COUNTIF($AD$2:$AD$1000,AD903)&gt;1,"DUPLICADO NO TG",IF(COUNTIF('Bolsas e auxílios'!$J$5:$J$1000,AD903)=0,"FORA DO CONTROLE","LOCALIZADO")))</f>
        <v/>
      </c>
    </row>
    <row r="904" ht="15.75" customHeight="1"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9" t="str">
        <f t="shared" si="1"/>
        <v/>
      </c>
      <c r="AE904" s="79" t="str">
        <f>IF(AD904="","",IF(COUNTIF($AD$2:$AD$1000,AD904)&gt;1,"DUPLICADO NO TG",IF(COUNTIF('Bolsas e auxílios'!$J$5:$J$1000,AD904)=0,"FORA DO CONTROLE","LOCALIZADO")))</f>
        <v/>
      </c>
    </row>
    <row r="905" ht="15.75" customHeight="1"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9" t="str">
        <f t="shared" si="1"/>
        <v/>
      </c>
      <c r="AE905" s="79" t="str">
        <f>IF(AD905="","",IF(COUNTIF($AD$2:$AD$1000,AD905)&gt;1,"DUPLICADO NO TG",IF(COUNTIF('Bolsas e auxílios'!$J$5:$J$1000,AD905)=0,"FORA DO CONTROLE","LOCALIZADO")))</f>
        <v/>
      </c>
    </row>
    <row r="906" ht="15.75" customHeight="1"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9" t="str">
        <f t="shared" si="1"/>
        <v/>
      </c>
      <c r="AE906" s="79" t="str">
        <f>IF(AD906="","",IF(COUNTIF($AD$2:$AD$1000,AD906)&gt;1,"DUPLICADO NO TG",IF(COUNTIF('Bolsas e auxílios'!$J$5:$J$1000,AD906)=0,"FORA DO CONTROLE","LOCALIZADO")))</f>
        <v/>
      </c>
    </row>
    <row r="907" ht="15.75" customHeight="1"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9" t="str">
        <f t="shared" si="1"/>
        <v/>
      </c>
      <c r="AE907" s="79" t="str">
        <f>IF(AD907="","",IF(COUNTIF($AD$2:$AD$1000,AD907)&gt;1,"DUPLICADO NO TG",IF(COUNTIF('Bolsas e auxílios'!$J$5:$J$1000,AD907)=0,"FORA DO CONTROLE","LOCALIZADO")))</f>
        <v/>
      </c>
    </row>
    <row r="908" ht="15.75" customHeight="1"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9" t="str">
        <f t="shared" si="1"/>
        <v/>
      </c>
      <c r="AE908" s="79" t="str">
        <f>IF(AD908="","",IF(COUNTIF($AD$2:$AD$1000,AD908)&gt;1,"DUPLICADO NO TG",IF(COUNTIF('Bolsas e auxílios'!$J$5:$J$1000,AD908)=0,"FORA DO CONTROLE","LOCALIZADO")))</f>
        <v/>
      </c>
    </row>
    <row r="909" ht="15.75" customHeight="1"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9" t="str">
        <f t="shared" si="1"/>
        <v/>
      </c>
      <c r="AE909" s="79" t="str">
        <f>IF(AD909="","",IF(COUNTIF($AD$2:$AD$1000,AD909)&gt;1,"DUPLICADO NO TG",IF(COUNTIF('Bolsas e auxílios'!$J$5:$J$1000,AD909)=0,"FORA DO CONTROLE","LOCALIZADO")))</f>
        <v/>
      </c>
    </row>
    <row r="910" ht="15.75" customHeight="1"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9" t="str">
        <f t="shared" si="1"/>
        <v/>
      </c>
      <c r="AE910" s="79" t="str">
        <f>IF(AD910="","",IF(COUNTIF($AD$2:$AD$1000,AD910)&gt;1,"DUPLICADO NO TG",IF(COUNTIF('Bolsas e auxílios'!$J$5:$J$1000,AD910)=0,"FORA DO CONTROLE","LOCALIZADO")))</f>
        <v/>
      </c>
    </row>
    <row r="911" ht="15.75" customHeight="1"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9" t="str">
        <f t="shared" si="1"/>
        <v/>
      </c>
      <c r="AE911" s="79" t="str">
        <f>IF(AD911="","",IF(COUNTIF($AD$2:$AD$1000,AD911)&gt;1,"DUPLICADO NO TG",IF(COUNTIF('Bolsas e auxílios'!$J$5:$J$1000,AD911)=0,"FORA DO CONTROLE","LOCALIZADO")))</f>
        <v/>
      </c>
    </row>
    <row r="912" ht="15.75" customHeight="1"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9" t="str">
        <f t="shared" si="1"/>
        <v/>
      </c>
      <c r="AE912" s="79" t="str">
        <f>IF(AD912="","",IF(COUNTIF($AD$2:$AD$1000,AD912)&gt;1,"DUPLICADO NO TG",IF(COUNTIF('Bolsas e auxílios'!$J$5:$J$1000,AD912)=0,"FORA DO CONTROLE","LOCALIZADO")))</f>
        <v/>
      </c>
    </row>
    <row r="913" ht="15.75" customHeight="1"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9" t="str">
        <f t="shared" si="1"/>
        <v/>
      </c>
      <c r="AE913" s="79" t="str">
        <f>IF(AD913="","",IF(COUNTIF($AD$2:$AD$1000,AD913)&gt;1,"DUPLICADO NO TG",IF(COUNTIF('Bolsas e auxílios'!$J$5:$J$1000,AD913)=0,"FORA DO CONTROLE","LOCALIZADO")))</f>
        <v/>
      </c>
    </row>
    <row r="914" ht="15.75" customHeight="1"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9" t="str">
        <f t="shared" si="1"/>
        <v/>
      </c>
      <c r="AE914" s="79" t="str">
        <f>IF(AD914="","",IF(COUNTIF($AD$2:$AD$1000,AD914)&gt;1,"DUPLICADO NO TG",IF(COUNTIF('Bolsas e auxílios'!$J$5:$J$1000,AD914)=0,"FORA DO CONTROLE","LOCALIZADO")))</f>
        <v/>
      </c>
    </row>
    <row r="915" ht="15.75" customHeight="1"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9" t="str">
        <f t="shared" si="1"/>
        <v/>
      </c>
      <c r="AE915" s="79" t="str">
        <f>IF(AD915="","",IF(COUNTIF($AD$2:$AD$1000,AD915)&gt;1,"DUPLICADO NO TG",IF(COUNTIF('Bolsas e auxílios'!$J$5:$J$1000,AD915)=0,"FORA DO CONTROLE","LOCALIZADO")))</f>
        <v/>
      </c>
    </row>
    <row r="916" ht="15.75" customHeight="1"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9" t="str">
        <f t="shared" si="1"/>
        <v/>
      </c>
      <c r="AE916" s="79" t="str">
        <f>IF(AD916="","",IF(COUNTIF($AD$2:$AD$1000,AD916)&gt;1,"DUPLICADO NO TG",IF(COUNTIF('Bolsas e auxílios'!$J$5:$J$1000,AD916)=0,"FORA DO CONTROLE","LOCALIZADO")))</f>
        <v/>
      </c>
    </row>
    <row r="917" ht="15.75" customHeight="1"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9" t="str">
        <f t="shared" si="1"/>
        <v/>
      </c>
      <c r="AE917" s="79" t="str">
        <f>IF(AD917="","",IF(COUNTIF($AD$2:$AD$1000,AD917)&gt;1,"DUPLICADO NO TG",IF(COUNTIF('Bolsas e auxílios'!$J$5:$J$1000,AD917)=0,"FORA DO CONTROLE","LOCALIZADO")))</f>
        <v/>
      </c>
    </row>
    <row r="918" ht="15.75" customHeight="1"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9" t="str">
        <f t="shared" si="1"/>
        <v/>
      </c>
      <c r="AE918" s="79" t="str">
        <f>IF(AD918="","",IF(COUNTIF($AD$2:$AD$1000,AD918)&gt;1,"DUPLICADO NO TG",IF(COUNTIF('Bolsas e auxílios'!$J$5:$J$1000,AD918)=0,"FORA DO CONTROLE","LOCALIZADO")))</f>
        <v/>
      </c>
    </row>
    <row r="919" ht="15.75" customHeight="1"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9" t="str">
        <f t="shared" si="1"/>
        <v/>
      </c>
      <c r="AE919" s="79" t="str">
        <f>IF(AD919="","",IF(COUNTIF($AD$2:$AD$1000,AD919)&gt;1,"DUPLICADO NO TG",IF(COUNTIF('Bolsas e auxílios'!$J$5:$J$1000,AD919)=0,"FORA DO CONTROLE","LOCALIZADO")))</f>
        <v/>
      </c>
    </row>
    <row r="920" ht="15.75" customHeight="1"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9" t="str">
        <f t="shared" si="1"/>
        <v/>
      </c>
      <c r="AE920" s="79" t="str">
        <f>IF(AD920="","",IF(COUNTIF($AD$2:$AD$1000,AD920)&gt;1,"DUPLICADO NO TG",IF(COUNTIF('Bolsas e auxílios'!$J$5:$J$1000,AD920)=0,"FORA DO CONTROLE","LOCALIZADO")))</f>
        <v/>
      </c>
    </row>
    <row r="921" ht="15.75" customHeight="1"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9" t="str">
        <f t="shared" si="1"/>
        <v/>
      </c>
      <c r="AE921" s="79" t="str">
        <f>IF(AD921="","",IF(COUNTIF($AD$2:$AD$1000,AD921)&gt;1,"DUPLICADO NO TG",IF(COUNTIF('Bolsas e auxílios'!$J$5:$J$1000,AD921)=0,"FORA DO CONTROLE","LOCALIZADO")))</f>
        <v/>
      </c>
    </row>
    <row r="922" ht="15.75" customHeight="1"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9" t="str">
        <f t="shared" si="1"/>
        <v/>
      </c>
      <c r="AE922" s="79" t="str">
        <f>IF(AD922="","",IF(COUNTIF($AD$2:$AD$1000,AD922)&gt;1,"DUPLICADO NO TG",IF(COUNTIF('Bolsas e auxílios'!$J$5:$J$1000,AD922)=0,"FORA DO CONTROLE","LOCALIZADO")))</f>
        <v/>
      </c>
    </row>
    <row r="923" ht="15.75" customHeight="1"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9" t="str">
        <f t="shared" si="1"/>
        <v/>
      </c>
      <c r="AE923" s="79" t="str">
        <f>IF(AD923="","",IF(COUNTIF($AD$2:$AD$1000,AD923)&gt;1,"DUPLICADO NO TG",IF(COUNTIF('Bolsas e auxílios'!$J$5:$J$1000,AD923)=0,"FORA DO CONTROLE","LOCALIZADO")))</f>
        <v/>
      </c>
    </row>
    <row r="924" ht="15.75" customHeight="1"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9" t="str">
        <f t="shared" si="1"/>
        <v/>
      </c>
      <c r="AE924" s="79" t="str">
        <f>IF(AD924="","",IF(COUNTIF($AD$2:$AD$1000,AD924)&gt;1,"DUPLICADO NO TG",IF(COUNTIF('Bolsas e auxílios'!$J$5:$J$1000,AD924)=0,"FORA DO CONTROLE","LOCALIZADO")))</f>
        <v/>
      </c>
    </row>
    <row r="925" ht="15.75" customHeight="1"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9" t="str">
        <f t="shared" si="1"/>
        <v/>
      </c>
      <c r="AE925" s="79" t="str">
        <f>IF(AD925="","",IF(COUNTIF($AD$2:$AD$1000,AD925)&gt;1,"DUPLICADO NO TG",IF(COUNTIF('Bolsas e auxílios'!$J$5:$J$1000,AD925)=0,"FORA DO CONTROLE","LOCALIZADO")))</f>
        <v/>
      </c>
    </row>
    <row r="926" ht="15.75" customHeight="1"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9" t="str">
        <f t="shared" si="1"/>
        <v/>
      </c>
      <c r="AE926" s="79" t="str">
        <f>IF(AD926="","",IF(COUNTIF($AD$2:$AD$1000,AD926)&gt;1,"DUPLICADO NO TG",IF(COUNTIF('Bolsas e auxílios'!$J$5:$J$1000,AD926)=0,"FORA DO CONTROLE","LOCALIZADO")))</f>
        <v/>
      </c>
    </row>
    <row r="927" ht="15.75" customHeight="1"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9" t="str">
        <f t="shared" si="1"/>
        <v/>
      </c>
      <c r="AE927" s="79" t="str">
        <f>IF(AD927="","",IF(COUNTIF($AD$2:$AD$1000,AD927)&gt;1,"DUPLICADO NO TG",IF(COUNTIF('Bolsas e auxílios'!$J$5:$J$1000,AD927)=0,"FORA DO CONTROLE","LOCALIZADO")))</f>
        <v/>
      </c>
    </row>
    <row r="928" ht="15.75" customHeight="1"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9" t="str">
        <f t="shared" si="1"/>
        <v/>
      </c>
      <c r="AE928" s="79" t="str">
        <f>IF(AD928="","",IF(COUNTIF($AD$2:$AD$1000,AD928)&gt;1,"DUPLICADO NO TG",IF(COUNTIF('Bolsas e auxílios'!$J$5:$J$1000,AD928)=0,"FORA DO CONTROLE","LOCALIZADO")))</f>
        <v/>
      </c>
    </row>
    <row r="929" ht="15.75" customHeight="1"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9" t="str">
        <f t="shared" si="1"/>
        <v/>
      </c>
      <c r="AE929" s="79" t="str">
        <f>IF(AD929="","",IF(COUNTIF($AD$2:$AD$1000,AD929)&gt;1,"DUPLICADO NO TG",IF(COUNTIF('Bolsas e auxílios'!$J$5:$J$1000,AD929)=0,"FORA DO CONTROLE","LOCALIZADO")))</f>
        <v/>
      </c>
    </row>
    <row r="930" ht="15.75" customHeight="1"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9" t="str">
        <f t="shared" si="1"/>
        <v/>
      </c>
      <c r="AE930" s="79" t="str">
        <f>IF(AD930="","",IF(COUNTIF($AD$2:$AD$1000,AD930)&gt;1,"DUPLICADO NO TG",IF(COUNTIF('Bolsas e auxílios'!$J$5:$J$1000,AD930)=0,"FORA DO CONTROLE","LOCALIZADO")))</f>
        <v/>
      </c>
    </row>
    <row r="931" ht="15.75" customHeight="1"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9" t="str">
        <f t="shared" si="1"/>
        <v/>
      </c>
      <c r="AE931" s="79" t="str">
        <f>IF(AD931="","",IF(COUNTIF($AD$2:$AD$1000,AD931)&gt;1,"DUPLICADO NO TG",IF(COUNTIF('Bolsas e auxílios'!$J$5:$J$1000,AD931)=0,"FORA DO CONTROLE","LOCALIZADO")))</f>
        <v/>
      </c>
    </row>
    <row r="932" ht="15.75" customHeight="1"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9" t="str">
        <f t="shared" si="1"/>
        <v/>
      </c>
      <c r="AE932" s="79" t="str">
        <f>IF(AD932="","",IF(COUNTIF($AD$2:$AD$1000,AD932)&gt;1,"DUPLICADO NO TG",IF(COUNTIF('Bolsas e auxílios'!$J$5:$J$1000,AD932)=0,"FORA DO CONTROLE","LOCALIZADO")))</f>
        <v/>
      </c>
    </row>
    <row r="933" ht="15.75" customHeight="1"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9" t="str">
        <f t="shared" si="1"/>
        <v/>
      </c>
      <c r="AE933" s="79" t="str">
        <f>IF(AD933="","",IF(COUNTIF($AD$2:$AD$1000,AD933)&gt;1,"DUPLICADO NO TG",IF(COUNTIF('Bolsas e auxílios'!$J$5:$J$1000,AD933)=0,"FORA DO CONTROLE","LOCALIZADO")))</f>
        <v/>
      </c>
    </row>
    <row r="934" ht="15.75" customHeight="1"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9" t="str">
        <f t="shared" si="1"/>
        <v/>
      </c>
      <c r="AE934" s="79" t="str">
        <f>IF(AD934="","",IF(COUNTIF($AD$2:$AD$1000,AD934)&gt;1,"DUPLICADO NO TG",IF(COUNTIF('Bolsas e auxílios'!$J$5:$J$1000,AD934)=0,"FORA DO CONTROLE","LOCALIZADO")))</f>
        <v/>
      </c>
    </row>
    <row r="935" ht="15.75" customHeight="1"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9" t="str">
        <f t="shared" si="1"/>
        <v/>
      </c>
      <c r="AE935" s="79" t="str">
        <f>IF(AD935="","",IF(COUNTIF($AD$2:$AD$1000,AD935)&gt;1,"DUPLICADO NO TG",IF(COUNTIF('Bolsas e auxílios'!$J$5:$J$1000,AD935)=0,"FORA DO CONTROLE","LOCALIZADO")))</f>
        <v/>
      </c>
    </row>
    <row r="936" ht="15.75" customHeight="1"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9" t="str">
        <f t="shared" si="1"/>
        <v/>
      </c>
      <c r="AE936" s="79" t="str">
        <f>IF(AD936="","",IF(COUNTIF($AD$2:$AD$1000,AD936)&gt;1,"DUPLICADO NO TG",IF(COUNTIF('Bolsas e auxílios'!$J$5:$J$1000,AD936)=0,"FORA DO CONTROLE","LOCALIZADO")))</f>
        <v/>
      </c>
    </row>
    <row r="937" ht="15.75" customHeight="1"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9" t="str">
        <f t="shared" si="1"/>
        <v/>
      </c>
      <c r="AE937" s="79" t="str">
        <f>IF(AD937="","",IF(COUNTIF($AD$2:$AD$1000,AD937)&gt;1,"DUPLICADO NO TG",IF(COUNTIF('Bolsas e auxílios'!$J$5:$J$1000,AD937)=0,"FORA DO CONTROLE","LOCALIZADO")))</f>
        <v/>
      </c>
    </row>
    <row r="938" ht="15.75" customHeight="1"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9" t="str">
        <f t="shared" si="1"/>
        <v/>
      </c>
      <c r="AE938" s="79" t="str">
        <f>IF(AD938="","",IF(COUNTIF($AD$2:$AD$1000,AD938)&gt;1,"DUPLICADO NO TG",IF(COUNTIF('Bolsas e auxílios'!$J$5:$J$1000,AD938)=0,"FORA DO CONTROLE","LOCALIZADO")))</f>
        <v/>
      </c>
    </row>
    <row r="939" ht="15.75" customHeight="1"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9" t="str">
        <f t="shared" si="1"/>
        <v/>
      </c>
      <c r="AE939" s="79" t="str">
        <f>IF(AD939="","",IF(COUNTIF($AD$2:$AD$1000,AD939)&gt;1,"DUPLICADO NO TG",IF(COUNTIF('Bolsas e auxílios'!$J$5:$J$1000,AD939)=0,"FORA DO CONTROLE","LOCALIZADO")))</f>
        <v/>
      </c>
    </row>
    <row r="940" ht="15.75" customHeight="1"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9" t="str">
        <f t="shared" si="1"/>
        <v/>
      </c>
      <c r="AE940" s="79" t="str">
        <f>IF(AD940="","",IF(COUNTIF($AD$2:$AD$1000,AD940)&gt;1,"DUPLICADO NO TG",IF(COUNTIF('Bolsas e auxílios'!$J$5:$J$1000,AD940)=0,"FORA DO CONTROLE","LOCALIZADO")))</f>
        <v/>
      </c>
    </row>
    <row r="941" ht="15.75" customHeight="1"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9" t="str">
        <f t="shared" si="1"/>
        <v/>
      </c>
      <c r="AE941" s="79" t="str">
        <f>IF(AD941="","",IF(COUNTIF($AD$2:$AD$1000,AD941)&gt;1,"DUPLICADO NO TG",IF(COUNTIF('Bolsas e auxílios'!$J$5:$J$1000,AD941)=0,"FORA DO CONTROLE","LOCALIZADO")))</f>
        <v/>
      </c>
    </row>
    <row r="942" ht="15.75" customHeight="1"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9" t="str">
        <f t="shared" si="1"/>
        <v/>
      </c>
      <c r="AE942" s="79" t="str">
        <f>IF(AD942="","",IF(COUNTIF($AD$2:$AD$1000,AD942)&gt;1,"DUPLICADO NO TG",IF(COUNTIF('Bolsas e auxílios'!$J$5:$J$1000,AD942)=0,"FORA DO CONTROLE","LOCALIZADO")))</f>
        <v/>
      </c>
    </row>
    <row r="943" ht="15.75" customHeight="1"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9" t="str">
        <f t="shared" si="1"/>
        <v/>
      </c>
      <c r="AE943" s="79" t="str">
        <f>IF(AD943="","",IF(COUNTIF($AD$2:$AD$1000,AD943)&gt;1,"DUPLICADO NO TG",IF(COUNTIF('Bolsas e auxílios'!$J$5:$J$1000,AD943)=0,"FORA DO CONTROLE","LOCALIZADO")))</f>
        <v/>
      </c>
    </row>
    <row r="944" ht="15.75" customHeight="1"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9" t="str">
        <f t="shared" si="1"/>
        <v/>
      </c>
      <c r="AE944" s="79" t="str">
        <f>IF(AD944="","",IF(COUNTIF($AD$2:$AD$1000,AD944)&gt;1,"DUPLICADO NO TG",IF(COUNTIF('Bolsas e auxílios'!$J$5:$J$1000,AD944)=0,"FORA DO CONTROLE","LOCALIZADO")))</f>
        <v/>
      </c>
    </row>
    <row r="945" ht="15.75" customHeight="1"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9" t="str">
        <f t="shared" si="1"/>
        <v/>
      </c>
      <c r="AE945" s="79" t="str">
        <f>IF(AD945="","",IF(COUNTIF($AD$2:$AD$1000,AD945)&gt;1,"DUPLICADO NO TG",IF(COUNTIF('Bolsas e auxílios'!$J$5:$J$1000,AD945)=0,"FORA DO CONTROLE","LOCALIZADO")))</f>
        <v/>
      </c>
    </row>
    <row r="946" ht="15.75" customHeight="1"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9" t="str">
        <f t="shared" si="1"/>
        <v/>
      </c>
      <c r="AE946" s="79" t="str">
        <f>IF(AD946="","",IF(COUNTIF($AD$2:$AD$1000,AD946)&gt;1,"DUPLICADO NO TG",IF(COUNTIF('Bolsas e auxílios'!$J$5:$J$1000,AD946)=0,"FORA DO CONTROLE","LOCALIZADO")))</f>
        <v/>
      </c>
    </row>
    <row r="947" ht="15.75" customHeight="1"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9" t="str">
        <f t="shared" si="1"/>
        <v/>
      </c>
      <c r="AE947" s="79" t="str">
        <f>IF(AD947="","",IF(COUNTIF($AD$2:$AD$1000,AD947)&gt;1,"DUPLICADO NO TG",IF(COUNTIF('Bolsas e auxílios'!$J$5:$J$1000,AD947)=0,"FORA DO CONTROLE","LOCALIZADO")))</f>
        <v/>
      </c>
    </row>
    <row r="948" ht="15.75" customHeight="1"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9" t="str">
        <f t="shared" si="1"/>
        <v/>
      </c>
      <c r="AE948" s="79" t="str">
        <f>IF(AD948="","",IF(COUNTIF($AD$2:$AD$1000,AD948)&gt;1,"DUPLICADO NO TG",IF(COUNTIF('Bolsas e auxílios'!$J$5:$J$1000,AD948)=0,"FORA DO CONTROLE","LOCALIZADO")))</f>
        <v/>
      </c>
    </row>
    <row r="949" ht="15.75" customHeight="1"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9" t="str">
        <f t="shared" si="1"/>
        <v/>
      </c>
      <c r="AE949" s="79" t="str">
        <f>IF(AD949="","",IF(COUNTIF($AD$2:$AD$1000,AD949)&gt;1,"DUPLICADO NO TG",IF(COUNTIF('Bolsas e auxílios'!$J$5:$J$1000,AD949)=0,"FORA DO CONTROLE","LOCALIZADO")))</f>
        <v/>
      </c>
    </row>
    <row r="950" ht="15.75" customHeight="1"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9" t="str">
        <f t="shared" si="1"/>
        <v/>
      </c>
      <c r="AE950" s="79" t="str">
        <f>IF(AD950="","",IF(COUNTIF($AD$2:$AD$1000,AD950)&gt;1,"DUPLICADO NO TG",IF(COUNTIF('Bolsas e auxílios'!$J$5:$J$1000,AD950)=0,"FORA DO CONTROLE","LOCALIZADO")))</f>
        <v/>
      </c>
    </row>
    <row r="951" ht="15.75" customHeight="1"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9" t="str">
        <f t="shared" si="1"/>
        <v/>
      </c>
      <c r="AE951" s="79" t="str">
        <f>IF(AD951="","",IF(COUNTIF($AD$2:$AD$1000,AD951)&gt;1,"DUPLICADO NO TG",IF(COUNTIF('Bolsas e auxílios'!$J$5:$J$1000,AD951)=0,"FORA DO CONTROLE","LOCALIZADO")))</f>
        <v/>
      </c>
    </row>
    <row r="952" ht="15.75" customHeight="1"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9" t="str">
        <f t="shared" si="1"/>
        <v/>
      </c>
      <c r="AE952" s="79" t="str">
        <f>IF(AD952="","",IF(COUNTIF($AD$2:$AD$1000,AD952)&gt;1,"DUPLICADO NO TG",IF(COUNTIF('Bolsas e auxílios'!$J$5:$J$1000,AD952)=0,"FORA DO CONTROLE","LOCALIZADO")))</f>
        <v/>
      </c>
    </row>
    <row r="953" ht="15.75" customHeight="1"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9" t="str">
        <f t="shared" si="1"/>
        <v/>
      </c>
      <c r="AE953" s="79" t="str">
        <f>IF(AD953="","",IF(COUNTIF($AD$2:$AD$1000,AD953)&gt;1,"DUPLICADO NO TG",IF(COUNTIF('Bolsas e auxílios'!$J$5:$J$1000,AD953)=0,"FORA DO CONTROLE","LOCALIZADO")))</f>
        <v/>
      </c>
    </row>
    <row r="954" ht="15.75" customHeight="1"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9" t="str">
        <f t="shared" si="1"/>
        <v/>
      </c>
      <c r="AE954" s="79" t="str">
        <f>IF(AD954="","",IF(COUNTIF($AD$2:$AD$1000,AD954)&gt;1,"DUPLICADO NO TG",IF(COUNTIF('Bolsas e auxílios'!$J$5:$J$1000,AD954)=0,"FORA DO CONTROLE","LOCALIZADO")))</f>
        <v/>
      </c>
    </row>
    <row r="955" ht="15.75" customHeight="1"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9" t="str">
        <f t="shared" si="1"/>
        <v/>
      </c>
      <c r="AE955" s="79" t="str">
        <f>IF(AD955="","",IF(COUNTIF($AD$2:$AD$1000,AD955)&gt;1,"DUPLICADO NO TG",IF(COUNTIF('Bolsas e auxílios'!$J$5:$J$1000,AD955)=0,"FORA DO CONTROLE","LOCALIZADO")))</f>
        <v/>
      </c>
    </row>
    <row r="956" ht="15.75" customHeight="1"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9" t="str">
        <f t="shared" si="1"/>
        <v/>
      </c>
      <c r="AE956" s="79" t="str">
        <f>IF(AD956="","",IF(COUNTIF($AD$2:$AD$1000,AD956)&gt;1,"DUPLICADO NO TG",IF(COUNTIF('Bolsas e auxílios'!$J$5:$J$1000,AD956)=0,"FORA DO CONTROLE","LOCALIZADO")))</f>
        <v/>
      </c>
    </row>
    <row r="957" ht="15.75" customHeight="1"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9" t="str">
        <f t="shared" si="1"/>
        <v/>
      </c>
      <c r="AE957" s="79" t="str">
        <f>IF(AD957="","",IF(COUNTIF($AD$2:$AD$1000,AD957)&gt;1,"DUPLICADO NO TG",IF(COUNTIF('Bolsas e auxílios'!$J$5:$J$1000,AD957)=0,"FORA DO CONTROLE","LOCALIZADO")))</f>
        <v/>
      </c>
    </row>
    <row r="958" ht="15.75" customHeight="1"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9" t="str">
        <f t="shared" si="1"/>
        <v/>
      </c>
      <c r="AE958" s="79" t="str">
        <f>IF(AD958="","",IF(COUNTIF($AD$2:$AD$1000,AD958)&gt;1,"DUPLICADO NO TG",IF(COUNTIF('Bolsas e auxílios'!$J$5:$J$1000,AD958)=0,"FORA DO CONTROLE","LOCALIZADO")))</f>
        <v/>
      </c>
    </row>
    <row r="959" ht="15.75" customHeight="1"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9" t="str">
        <f t="shared" si="1"/>
        <v/>
      </c>
      <c r="AE959" s="79" t="str">
        <f>IF(AD959="","",IF(COUNTIF($AD$2:$AD$1000,AD959)&gt;1,"DUPLICADO NO TG",IF(COUNTIF('Bolsas e auxílios'!$J$5:$J$1000,AD959)=0,"FORA DO CONTROLE","LOCALIZADO")))</f>
        <v/>
      </c>
    </row>
    <row r="960" ht="15.75" customHeight="1"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9" t="str">
        <f t="shared" si="1"/>
        <v/>
      </c>
      <c r="AE960" s="79" t="str">
        <f>IF(AD960="","",IF(COUNTIF($AD$2:$AD$1000,AD960)&gt;1,"DUPLICADO NO TG",IF(COUNTIF('Bolsas e auxílios'!$J$5:$J$1000,AD960)=0,"FORA DO CONTROLE","LOCALIZADO")))</f>
        <v/>
      </c>
    </row>
    <row r="961" ht="15.75" customHeight="1"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9" t="str">
        <f t="shared" si="1"/>
        <v/>
      </c>
      <c r="AE961" s="79" t="str">
        <f>IF(AD961="","",IF(COUNTIF($AD$2:$AD$1000,AD961)&gt;1,"DUPLICADO NO TG",IF(COUNTIF('Bolsas e auxílios'!$J$5:$J$1000,AD961)=0,"FORA DO CONTROLE","LOCALIZADO")))</f>
        <v/>
      </c>
    </row>
    <row r="962" ht="15.75" customHeight="1"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9" t="str">
        <f t="shared" si="1"/>
        <v/>
      </c>
      <c r="AE962" s="79" t="str">
        <f>IF(AD962="","",IF(COUNTIF($AD$2:$AD$1000,AD962)&gt;1,"DUPLICADO NO TG",IF(COUNTIF('Bolsas e auxílios'!$J$5:$J$1000,AD962)=0,"FORA DO CONTROLE","LOCALIZADO")))</f>
        <v/>
      </c>
    </row>
    <row r="963" ht="15.75" customHeight="1"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9" t="str">
        <f t="shared" si="1"/>
        <v/>
      </c>
      <c r="AE963" s="79" t="str">
        <f>IF(AD963="","",IF(COUNTIF($AD$2:$AD$1000,AD963)&gt;1,"DUPLICADO NO TG",IF(COUNTIF('Bolsas e auxílios'!$J$5:$J$1000,AD963)=0,"FORA DO CONTROLE","LOCALIZADO")))</f>
        <v/>
      </c>
    </row>
    <row r="964" ht="15.75" customHeight="1"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9" t="str">
        <f t="shared" si="1"/>
        <v/>
      </c>
      <c r="AE964" s="79" t="str">
        <f>IF(AD964="","",IF(COUNTIF($AD$2:$AD$1000,AD964)&gt;1,"DUPLICADO NO TG",IF(COUNTIF('Bolsas e auxílios'!$J$5:$J$1000,AD964)=0,"FORA DO CONTROLE","LOCALIZADO")))</f>
        <v/>
      </c>
    </row>
    <row r="965" ht="15.75" customHeight="1"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9" t="str">
        <f t="shared" si="1"/>
        <v/>
      </c>
      <c r="AE965" s="79" t="str">
        <f>IF(AD965="","",IF(COUNTIF($AD$2:$AD$1000,AD965)&gt;1,"DUPLICADO NO TG",IF(COUNTIF('Bolsas e auxílios'!$J$5:$J$1000,AD965)=0,"FORA DO CONTROLE","LOCALIZADO")))</f>
        <v/>
      </c>
    </row>
    <row r="966" ht="15.75" customHeight="1"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9" t="str">
        <f t="shared" si="1"/>
        <v/>
      </c>
      <c r="AE966" s="79" t="str">
        <f>IF(AD966="","",IF(COUNTIF($AD$2:$AD$1000,AD966)&gt;1,"DUPLICADO NO TG",IF(COUNTIF('Bolsas e auxílios'!$J$5:$J$1000,AD966)=0,"FORA DO CONTROLE","LOCALIZADO")))</f>
        <v/>
      </c>
    </row>
    <row r="967" ht="15.75" customHeight="1"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9" t="str">
        <f t="shared" si="1"/>
        <v/>
      </c>
      <c r="AE967" s="79" t="str">
        <f>IF(AD967="","",IF(COUNTIF($AD$2:$AD$1000,AD967)&gt;1,"DUPLICADO NO TG",IF(COUNTIF('Bolsas e auxílios'!$J$5:$J$1000,AD967)=0,"FORA DO CONTROLE","LOCALIZADO")))</f>
        <v/>
      </c>
    </row>
    <row r="968" ht="15.75" customHeight="1"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9" t="str">
        <f t="shared" si="1"/>
        <v/>
      </c>
      <c r="AE968" s="79" t="str">
        <f>IF(AD968="","",IF(COUNTIF($AD$2:$AD$1000,AD968)&gt;1,"DUPLICADO NO TG",IF(COUNTIF('Bolsas e auxílios'!$J$5:$J$1000,AD968)=0,"FORA DO CONTROLE","LOCALIZADO")))</f>
        <v/>
      </c>
    </row>
    <row r="969" ht="15.75" customHeight="1"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9" t="str">
        <f t="shared" si="1"/>
        <v/>
      </c>
      <c r="AE969" s="79" t="str">
        <f>IF(AD969="","",IF(COUNTIF($AD$2:$AD$1000,AD969)&gt;1,"DUPLICADO NO TG",IF(COUNTIF('Bolsas e auxílios'!$J$5:$J$1000,AD969)=0,"FORA DO CONTROLE","LOCALIZADO")))</f>
        <v/>
      </c>
    </row>
    <row r="970" ht="15.75" customHeight="1"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9" t="str">
        <f t="shared" si="1"/>
        <v/>
      </c>
      <c r="AE970" s="79" t="str">
        <f>IF(AD970="","",IF(COUNTIF($AD$2:$AD$1000,AD970)&gt;1,"DUPLICADO NO TG",IF(COUNTIF('Bolsas e auxílios'!$J$5:$J$1000,AD970)=0,"FORA DO CONTROLE","LOCALIZADO")))</f>
        <v/>
      </c>
    </row>
    <row r="971" ht="15.75" customHeight="1"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9" t="str">
        <f t="shared" si="1"/>
        <v/>
      </c>
      <c r="AE971" s="79" t="str">
        <f>IF(AD971="","",IF(COUNTIF($AD$2:$AD$1000,AD971)&gt;1,"DUPLICADO NO TG",IF(COUNTIF('Bolsas e auxílios'!$J$5:$J$1000,AD971)=0,"FORA DO CONTROLE","LOCALIZADO")))</f>
        <v/>
      </c>
    </row>
    <row r="972" ht="15.75" customHeight="1"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9" t="str">
        <f t="shared" si="1"/>
        <v/>
      </c>
      <c r="AE972" s="79" t="str">
        <f>IF(AD972="","",IF(COUNTIF($AD$2:$AD$1000,AD972)&gt;1,"DUPLICADO NO TG",IF(COUNTIF('Bolsas e auxílios'!$J$5:$J$1000,AD972)=0,"FORA DO CONTROLE","LOCALIZADO")))</f>
        <v/>
      </c>
    </row>
    <row r="973" ht="15.75" customHeight="1"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9" t="str">
        <f t="shared" si="1"/>
        <v/>
      </c>
      <c r="AE973" s="79" t="str">
        <f>IF(AD973="","",IF(COUNTIF($AD$2:$AD$1000,AD973)&gt;1,"DUPLICADO NO TG",IF(COUNTIF('Bolsas e auxílios'!$J$5:$J$1000,AD973)=0,"FORA DO CONTROLE","LOCALIZADO")))</f>
        <v/>
      </c>
    </row>
    <row r="974" ht="15.75" customHeight="1"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9" t="str">
        <f t="shared" si="1"/>
        <v/>
      </c>
      <c r="AE974" s="79" t="str">
        <f>IF(AD974="","",IF(COUNTIF($AD$2:$AD$1000,AD974)&gt;1,"DUPLICADO NO TG",IF(COUNTIF('Bolsas e auxílios'!$J$5:$J$1000,AD974)=0,"FORA DO CONTROLE","LOCALIZADO")))</f>
        <v/>
      </c>
    </row>
    <row r="975" ht="15.75" customHeight="1"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9" t="str">
        <f t="shared" si="1"/>
        <v/>
      </c>
      <c r="AE975" s="79" t="str">
        <f>IF(AD975="","",IF(COUNTIF($AD$2:$AD$1000,AD975)&gt;1,"DUPLICADO NO TG",IF(COUNTIF('Bolsas e auxílios'!$J$5:$J$1000,AD975)=0,"FORA DO CONTROLE","LOCALIZADO")))</f>
        <v/>
      </c>
    </row>
    <row r="976" ht="15.75" customHeight="1"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9" t="str">
        <f t="shared" si="1"/>
        <v/>
      </c>
      <c r="AE976" s="79" t="str">
        <f>IF(AD976="","",IF(COUNTIF($AD$2:$AD$1000,AD976)&gt;1,"DUPLICADO NO TG",IF(COUNTIF('Bolsas e auxílios'!$J$5:$J$1000,AD976)=0,"FORA DO CONTROLE","LOCALIZADO")))</f>
        <v/>
      </c>
    </row>
    <row r="977" ht="15.75" customHeight="1"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9" t="str">
        <f t="shared" si="1"/>
        <v/>
      </c>
      <c r="AE977" s="79" t="str">
        <f>IF(AD977="","",IF(COUNTIF($AD$2:$AD$1000,AD977)&gt;1,"DUPLICADO NO TG",IF(COUNTIF('Bolsas e auxílios'!$J$5:$J$1000,AD977)=0,"FORA DO CONTROLE","LOCALIZADO")))</f>
        <v/>
      </c>
    </row>
    <row r="978" ht="15.75" customHeight="1"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9" t="str">
        <f t="shared" si="1"/>
        <v/>
      </c>
      <c r="AE978" s="79" t="str">
        <f>IF(AD978="","",IF(COUNTIF($AD$2:$AD$1000,AD978)&gt;1,"DUPLICADO NO TG",IF(COUNTIF('Bolsas e auxílios'!$J$5:$J$1000,AD978)=0,"FORA DO CONTROLE","LOCALIZADO")))</f>
        <v/>
      </c>
    </row>
    <row r="979" ht="15.75" customHeight="1"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9" t="str">
        <f t="shared" si="1"/>
        <v/>
      </c>
      <c r="AE979" s="79" t="str">
        <f>IF(AD979="","",IF(COUNTIF($AD$2:$AD$1000,AD979)&gt;1,"DUPLICADO NO TG",IF(COUNTIF('Bolsas e auxílios'!$J$5:$J$1000,AD979)=0,"FORA DO CONTROLE","LOCALIZADO")))</f>
        <v/>
      </c>
    </row>
    <row r="980" ht="15.75" customHeight="1"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9" t="str">
        <f t="shared" si="1"/>
        <v/>
      </c>
      <c r="AE980" s="79" t="str">
        <f>IF(AD980="","",IF(COUNTIF($AD$2:$AD$1000,AD980)&gt;1,"DUPLICADO NO TG",IF(COUNTIF('Bolsas e auxílios'!$J$5:$J$1000,AD980)=0,"FORA DO CONTROLE","LOCALIZADO")))</f>
        <v/>
      </c>
    </row>
    <row r="981" ht="15.75" customHeight="1"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9" t="str">
        <f t="shared" si="1"/>
        <v/>
      </c>
      <c r="AE981" s="79" t="str">
        <f>IF(AD981="","",IF(COUNTIF($AD$2:$AD$1000,AD981)&gt;1,"DUPLICADO NO TG",IF(COUNTIF('Bolsas e auxílios'!$J$5:$J$1000,AD981)=0,"FORA DO CONTROLE","LOCALIZADO")))</f>
        <v/>
      </c>
    </row>
    <row r="982" ht="15.75" customHeight="1"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9" t="str">
        <f t="shared" si="1"/>
        <v/>
      </c>
      <c r="AE982" s="79" t="str">
        <f>IF(AD982="","",IF(COUNTIF($AD$2:$AD$1000,AD982)&gt;1,"DUPLICADO NO TG",IF(COUNTIF('Bolsas e auxílios'!$J$5:$J$1000,AD982)=0,"FORA DO CONTROLE","LOCALIZADO")))</f>
        <v/>
      </c>
    </row>
    <row r="983" ht="15.75" customHeight="1"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9" t="str">
        <f t="shared" si="1"/>
        <v/>
      </c>
      <c r="AE983" s="79" t="str">
        <f>IF(AD983="","",IF(COUNTIF($AD$2:$AD$1000,AD983)&gt;1,"DUPLICADO NO TG",IF(COUNTIF('Bolsas e auxílios'!$J$5:$J$1000,AD983)=0,"FORA DO CONTROLE","LOCALIZADO")))</f>
        <v/>
      </c>
    </row>
    <row r="984" ht="15.75" customHeight="1"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9" t="str">
        <f t="shared" si="1"/>
        <v/>
      </c>
      <c r="AE984" s="79" t="str">
        <f>IF(AD984="","",IF(COUNTIF($AD$2:$AD$1000,AD984)&gt;1,"DUPLICADO NO TG",IF(COUNTIF('Bolsas e auxílios'!$J$5:$J$1000,AD984)=0,"FORA DO CONTROLE","LOCALIZADO")))</f>
        <v/>
      </c>
    </row>
    <row r="985" ht="15.75" customHeight="1"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9" t="str">
        <f t="shared" si="1"/>
        <v/>
      </c>
      <c r="AE985" s="79" t="str">
        <f>IF(AD985="","",IF(COUNTIF($AD$2:$AD$1000,AD985)&gt;1,"DUPLICADO NO TG",IF(COUNTIF('Bolsas e auxílios'!$J$5:$J$1000,AD985)=0,"FORA DO CONTROLE","LOCALIZADO")))</f>
        <v/>
      </c>
    </row>
    <row r="986" ht="15.75" customHeight="1"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9" t="str">
        <f t="shared" si="1"/>
        <v/>
      </c>
      <c r="AE986" s="79" t="str">
        <f>IF(AD986="","",IF(COUNTIF($AD$2:$AD$1000,AD986)&gt;1,"DUPLICADO NO TG",IF(COUNTIF('Bolsas e auxílios'!$J$5:$J$1000,AD986)=0,"FORA DO CONTROLE","LOCALIZADO")))</f>
        <v/>
      </c>
    </row>
    <row r="987" ht="15.75" customHeight="1"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9" t="str">
        <f t="shared" si="1"/>
        <v/>
      </c>
      <c r="AE987" s="79" t="str">
        <f>IF(AD987="","",IF(COUNTIF($AD$2:$AD$1000,AD987)&gt;1,"DUPLICADO NO TG",IF(COUNTIF('Bolsas e auxílios'!$J$5:$J$1000,AD987)=0,"FORA DO CONTROLE","LOCALIZADO")))</f>
        <v/>
      </c>
    </row>
    <row r="988" ht="15.75" customHeight="1"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9" t="str">
        <f t="shared" si="1"/>
        <v/>
      </c>
      <c r="AE988" s="79" t="str">
        <f>IF(AD988="","",IF(COUNTIF($AD$2:$AD$1000,AD988)&gt;1,"DUPLICADO NO TG",IF(COUNTIF('Bolsas e auxílios'!$J$5:$J$1000,AD988)=0,"FORA DO CONTROLE","LOCALIZADO")))</f>
        <v/>
      </c>
    </row>
    <row r="989" ht="15.75" customHeight="1"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9" t="str">
        <f t="shared" si="1"/>
        <v/>
      </c>
      <c r="AE989" s="79" t="str">
        <f>IF(AD989="","",IF(COUNTIF($AD$2:$AD$1000,AD989)&gt;1,"DUPLICADO NO TG",IF(COUNTIF('Bolsas e auxílios'!$J$5:$J$1000,AD989)=0,"FORA DO CONTROLE","LOCALIZADO")))</f>
        <v/>
      </c>
    </row>
    <row r="990" ht="15.75" customHeight="1"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9" t="str">
        <f t="shared" si="1"/>
        <v/>
      </c>
      <c r="AE990" s="79" t="str">
        <f>IF(AD990="","",IF(COUNTIF($AD$2:$AD$1000,AD990)&gt;1,"DUPLICADO NO TG",IF(COUNTIF('Bolsas e auxílios'!$J$5:$J$1000,AD990)=0,"FORA DO CONTROLE","LOCALIZADO")))</f>
        <v/>
      </c>
    </row>
    <row r="991" ht="15.75" customHeight="1"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9" t="str">
        <f t="shared" si="1"/>
        <v/>
      </c>
      <c r="AE991" s="79" t="str">
        <f>IF(AD991="","",IF(COUNTIF($AD$2:$AD$1000,AD991)&gt;1,"DUPLICADO NO TG",IF(COUNTIF('Bolsas e auxílios'!$J$5:$J$1000,AD991)=0,"FORA DO CONTROLE","LOCALIZADO")))</f>
        <v/>
      </c>
    </row>
    <row r="992" ht="15.75" customHeight="1"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9" t="str">
        <f t="shared" si="1"/>
        <v/>
      </c>
      <c r="AE992" s="79" t="str">
        <f>IF(AD992="","",IF(COUNTIF($AD$2:$AD$1000,AD992)&gt;1,"DUPLICADO NO TG",IF(COUNTIF('Bolsas e auxílios'!$J$5:$J$1000,AD992)=0,"FORA DO CONTROLE","LOCALIZADO")))</f>
        <v/>
      </c>
    </row>
    <row r="993" ht="15.75" customHeight="1"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9" t="str">
        <f t="shared" si="1"/>
        <v/>
      </c>
      <c r="AE993" s="79" t="str">
        <f>IF(AD993="","",IF(COUNTIF($AD$2:$AD$1000,AD993)&gt;1,"DUPLICADO NO TG",IF(COUNTIF('Bolsas e auxílios'!$J$5:$J$1000,AD993)=0,"FORA DO CONTROLE","LOCALIZADO")))</f>
        <v/>
      </c>
    </row>
    <row r="994" ht="15.75" customHeight="1"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9" t="str">
        <f t="shared" si="1"/>
        <v/>
      </c>
      <c r="AE994" s="79" t="str">
        <f>IF(AD994="","",IF(COUNTIF($AD$2:$AD$1000,AD994)&gt;1,"DUPLICADO NO TG",IF(COUNTIF('Bolsas e auxílios'!$J$5:$J$1000,AD994)=0,"FORA DO CONTROLE","LOCALIZADO")))</f>
        <v/>
      </c>
    </row>
    <row r="995" ht="15.75" customHeight="1"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9" t="str">
        <f t="shared" si="1"/>
        <v/>
      </c>
      <c r="AE995" s="79" t="str">
        <f>IF(AD995="","",IF(COUNTIF($AD$2:$AD$1000,AD995)&gt;1,"DUPLICADO NO TG",IF(COUNTIF('Bolsas e auxílios'!$J$5:$J$1000,AD995)=0,"FORA DO CONTROLE","LOCALIZADO")))</f>
        <v/>
      </c>
    </row>
    <row r="996" ht="15.75" customHeight="1"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9" t="str">
        <f t="shared" si="1"/>
        <v/>
      </c>
      <c r="AE996" s="79" t="str">
        <f>IF(AD996="","",IF(COUNTIF($AD$2:$AD$1000,AD996)&gt;1,"DUPLICADO NO TG",IF(COUNTIF('Bolsas e auxílios'!$J$5:$J$1000,AD996)=0,"FORA DO CONTROLE","LOCALIZADO")))</f>
        <v/>
      </c>
    </row>
    <row r="997" ht="15.75" customHeight="1"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9" t="str">
        <f t="shared" si="1"/>
        <v/>
      </c>
      <c r="AE997" s="79" t="str">
        <f>IF(AD997="","",IF(COUNTIF($AD$2:$AD$1000,AD997)&gt;1,"DUPLICADO NO TG",IF(COUNTIF('Bolsas e auxílios'!$J$5:$J$1000,AD997)=0,"FORA DO CONTROLE","LOCALIZADO")))</f>
        <v/>
      </c>
    </row>
    <row r="998" ht="15.75" customHeight="1"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9" t="str">
        <f t="shared" si="1"/>
        <v/>
      </c>
      <c r="AE998" s="79" t="str">
        <f>IF(AD998="","",IF(COUNTIF($AD$2:$AD$1000,AD998)&gt;1,"DUPLICADO NO TG",IF(COUNTIF('Bolsas e auxílios'!$J$5:$J$1000,AD998)=0,"FORA DO CONTROLE","LOCALIZADO")))</f>
        <v/>
      </c>
    </row>
    <row r="999" ht="15.75" customHeight="1"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9" t="str">
        <f t="shared" si="1"/>
        <v/>
      </c>
      <c r="AE999" s="79" t="str">
        <f>IF(AD999="","",IF(COUNTIF($AD$2:$AD$1000,AD999)&gt;1,"DUPLICADO NO TG",IF(COUNTIF('Bolsas e auxílios'!$J$5:$J$1000,AD999)=0,"FORA DO CONTROLE","LOCALIZADO")))</f>
        <v/>
      </c>
    </row>
    <row r="1000" ht="15.75" customHeight="1"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9" t="str">
        <f t="shared" si="1"/>
        <v/>
      </c>
      <c r="AE1000" s="79" t="str">
        <f>IF(AD1000="","",IF(COUNTIF($AD$2:$AD$1000,AD1000)&gt;1,"DUPLICADO NO TG",IF(COUNTIF('Bolsas e auxílios'!$J$5:$J$1000,AD1000)=0,"FORA DO CONTROLE","LOCALIZADO")))</f>
        <v/>
      </c>
    </row>
  </sheetData>
  <conditionalFormatting sqref="AE2:AE1000">
    <cfRule type="containsText" dxfId="4" priority="1" operator="containsText" text="LOCALIZADO">
      <formula>NOT(ISERROR(SEARCH(("LOCALIZADO"),(AE2))))</formula>
    </cfRule>
  </conditionalFormatting>
  <conditionalFormatting sqref="AE2:AE1000">
    <cfRule type="containsText" dxfId="5" priority="2" operator="containsText" text="FORA DO CONTROLE">
      <formula>NOT(ISERROR(SEARCH(("FORA DO CONTROLE"),(AE2))))</formula>
    </cfRule>
  </conditionalFormatting>
  <conditionalFormatting sqref="AE2:AE1000">
    <cfRule type="containsText" dxfId="2" priority="3" operator="containsText" text="DUPLICADO">
      <formula>NOT(ISERROR(SEARCH(("DUPLICADO"),(AE2))))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6" width="18.0"/>
    <col customWidth="1" min="7" max="26" width="8.71"/>
  </cols>
  <sheetData>
    <row r="1" ht="33.75" customHeight="1">
      <c r="A1" s="51" t="s">
        <v>118</v>
      </c>
      <c r="B1" s="52"/>
      <c r="C1" s="52"/>
      <c r="D1" s="52"/>
      <c r="E1" s="52"/>
      <c r="F1" s="52"/>
    </row>
    <row r="3" ht="37.5" customHeight="1">
      <c r="A3" s="53" t="s">
        <v>119</v>
      </c>
      <c r="B3" s="52"/>
      <c r="C3" s="52"/>
      <c r="D3" s="52"/>
      <c r="E3" s="52"/>
      <c r="F3" s="52"/>
    </row>
    <row r="5">
      <c r="A5" s="54" t="s">
        <v>122</v>
      </c>
      <c r="B5" s="52"/>
      <c r="C5" s="52"/>
      <c r="D5" s="52"/>
      <c r="E5" s="52"/>
      <c r="F5" s="52"/>
    </row>
    <row r="6" ht="27.75" customHeight="1">
      <c r="A6" s="55" t="s">
        <v>123</v>
      </c>
      <c r="B6" s="56" t="s">
        <v>124</v>
      </c>
      <c r="C6" s="57"/>
      <c r="D6" s="57"/>
      <c r="E6" s="57"/>
      <c r="F6" s="58"/>
    </row>
    <row r="7" ht="27.75" customHeight="1">
      <c r="A7" s="55" t="s">
        <v>126</v>
      </c>
      <c r="B7" s="56" t="s">
        <v>128</v>
      </c>
      <c r="C7" s="57"/>
      <c r="D7" s="57"/>
      <c r="E7" s="57"/>
      <c r="F7" s="58"/>
    </row>
    <row r="8" ht="27.75" customHeight="1">
      <c r="A8" s="55" t="s">
        <v>129</v>
      </c>
      <c r="B8" s="56" t="s">
        <v>130</v>
      </c>
      <c r="C8" s="57"/>
      <c r="D8" s="57"/>
      <c r="E8" s="57"/>
      <c r="F8" s="58"/>
    </row>
    <row r="9" ht="27.75" customHeight="1">
      <c r="A9" s="55" t="s">
        <v>134</v>
      </c>
      <c r="B9" s="56" t="s">
        <v>136</v>
      </c>
      <c r="C9" s="57"/>
      <c r="D9" s="57"/>
      <c r="E9" s="57"/>
      <c r="F9" s="58"/>
    </row>
    <row r="10" ht="27.75" customHeight="1">
      <c r="A10" s="55" t="s">
        <v>138</v>
      </c>
      <c r="B10" s="56" t="s">
        <v>139</v>
      </c>
      <c r="C10" s="57"/>
      <c r="D10" s="57"/>
      <c r="E10" s="57"/>
      <c r="F10" s="58"/>
    </row>
    <row r="12">
      <c r="A12" s="54" t="s">
        <v>140</v>
      </c>
      <c r="B12" s="52"/>
      <c r="C12" s="52"/>
      <c r="D12" s="52"/>
      <c r="E12" s="52"/>
      <c r="F12" s="52"/>
    </row>
    <row r="13">
      <c r="A13" s="59" t="s">
        <v>141</v>
      </c>
      <c r="B13" s="59" t="s">
        <v>144</v>
      </c>
    </row>
    <row r="14">
      <c r="A14" s="61" t="s">
        <v>145</v>
      </c>
      <c r="B14" s="66">
        <f>COUNTIF('Bolsas e auxílios'!$Z$5:$Z$22,"ATUALIZADO")</f>
        <v>17</v>
      </c>
    </row>
    <row r="15">
      <c r="A15" s="61" t="s">
        <v>151</v>
      </c>
      <c r="B15" s="66">
        <f>COUNTIF('Bolsas e auxílios'!$Z$5:$Z$22,"NÃO LOCALIZADO")</f>
        <v>0</v>
      </c>
    </row>
    <row r="16">
      <c r="A16" s="61" t="s">
        <v>154</v>
      </c>
      <c r="B16" s="66">
        <f>COUNTIF('Bolsas e auxílios'!$Z$5:$Z$22,"DUPLICADO*")</f>
        <v>0</v>
      </c>
    </row>
    <row r="17">
      <c r="A17" s="61" t="s">
        <v>156</v>
      </c>
      <c r="B17" s="66">
        <f>COUNTIF('Bolsas e auxílios'!$Z$5:$Z$22,"SEM EMPENHO")</f>
        <v>1</v>
      </c>
    </row>
    <row r="18">
      <c r="A18" s="61" t="s">
        <v>158</v>
      </c>
      <c r="B18" s="66">
        <f>COUNTIF('Base TG'!$AA$2:$AA$1000,"FORA DO CONTROLE")</f>
        <v>0</v>
      </c>
    </row>
    <row r="19">
      <c r="A19" s="61" t="s">
        <v>160</v>
      </c>
      <c r="B19" s="70">
        <f>'Bolsas e auxílios'!V25</f>
        <v>139459.48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0:F10"/>
    <mergeCell ref="A12:F12"/>
    <mergeCell ref="A1:F1"/>
    <mergeCell ref="A3:F3"/>
    <mergeCell ref="A5:F5"/>
    <mergeCell ref="B6:F6"/>
    <mergeCell ref="B7:F7"/>
    <mergeCell ref="B8:F8"/>
    <mergeCell ref="B9:F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